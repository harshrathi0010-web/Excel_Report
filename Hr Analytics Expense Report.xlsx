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DELL\Desktop\Excel Dashboard\"/>
    </mc:Choice>
  </mc:AlternateContent>
  <xr:revisionPtr revIDLastSave="0" documentId="8_{ADAC6C18-3EAB-4416-AF7E-85870DE526EC}" xr6:coauthVersionLast="47" xr6:coauthVersionMax="47" xr10:uidLastSave="{00000000-0000-0000-0000-000000000000}"/>
  <bookViews>
    <workbookView xWindow="-120" yWindow="-120" windowWidth="20730" windowHeight="11040" activeTab="1" xr2:uid="{00000000-000D-0000-FFFF-FFFF00000000}"/>
  </bookViews>
  <sheets>
    <sheet name="Report" sheetId="3" r:id="rId1"/>
    <sheet name="Dashboard" sheetId="5" r:id="rId2"/>
    <sheet name="Employee Data" sheetId="1" r:id="rId3"/>
    <sheet name="Sheet1" sheetId="2" r:id="rId4"/>
  </sheets>
  <definedNames>
    <definedName name="Slicer_Department">#N/A</definedName>
    <definedName name="Slicer_Months__Salary_Date">#N/A</definedName>
    <definedName name="Slicer_Quarters__Salary_Date">#N/A</definedName>
    <definedName name="Slicer_Years__Salary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3" i="1" l="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T3" i="1"/>
  <c r="T2" i="1"/>
</calcChain>
</file>

<file path=xl/sharedStrings.xml><?xml version="1.0" encoding="utf-8"?>
<sst xmlns="http://schemas.openxmlformats.org/spreadsheetml/2006/main" count="197" uniqueCount="65">
  <si>
    <t>ID No</t>
  </si>
  <si>
    <t>Name</t>
  </si>
  <si>
    <t>Department</t>
  </si>
  <si>
    <t>Designation</t>
  </si>
  <si>
    <t>Basic salary</t>
  </si>
  <si>
    <t>Leaves taken</t>
  </si>
  <si>
    <t>Attendence</t>
  </si>
  <si>
    <t>Overtime Hrs</t>
  </si>
  <si>
    <t>Basic Salary Earned</t>
  </si>
  <si>
    <t>HRA</t>
  </si>
  <si>
    <t>D.A</t>
  </si>
  <si>
    <t>Travel</t>
  </si>
  <si>
    <t>OverTime Salary</t>
  </si>
  <si>
    <t>Gross Salary</t>
  </si>
  <si>
    <t>PF</t>
  </si>
  <si>
    <t>ESI</t>
  </si>
  <si>
    <t>TDS</t>
  </si>
  <si>
    <t>Net PAY</t>
  </si>
  <si>
    <t>Salary_Date</t>
  </si>
  <si>
    <t>CTC</t>
  </si>
  <si>
    <t>ANUSHKA</t>
  </si>
  <si>
    <t>Sales</t>
  </si>
  <si>
    <t>Cunsultant</t>
  </si>
  <si>
    <t>NEHA</t>
  </si>
  <si>
    <t>IT</t>
  </si>
  <si>
    <t>Manager</t>
  </si>
  <si>
    <t>DEEPALI</t>
  </si>
  <si>
    <t>Accountant</t>
  </si>
  <si>
    <t>KHUSHBOO</t>
  </si>
  <si>
    <t>SIDRA</t>
  </si>
  <si>
    <t>LAXMI</t>
  </si>
  <si>
    <t>Data Executive</t>
  </si>
  <si>
    <t>RENU</t>
  </si>
  <si>
    <t>Customer Support</t>
  </si>
  <si>
    <t>HIMANSHI</t>
  </si>
  <si>
    <t>HR</t>
  </si>
  <si>
    <t>Hr Executive</t>
  </si>
  <si>
    <t>Namco</t>
  </si>
  <si>
    <t>Ritika</t>
  </si>
  <si>
    <t>Data Analyst</t>
  </si>
  <si>
    <t>JATIN</t>
  </si>
  <si>
    <t>Accounts</t>
  </si>
  <si>
    <t>Account Manager</t>
  </si>
  <si>
    <t>SUMIT</t>
  </si>
  <si>
    <t>ABHIJEET</t>
  </si>
  <si>
    <t>Developer</t>
  </si>
  <si>
    <t>ARBAZ</t>
  </si>
  <si>
    <t>harsh rathi</t>
  </si>
  <si>
    <t>Row Labels</t>
  </si>
  <si>
    <t>Grand Total</t>
  </si>
  <si>
    <t>Jan</t>
  </si>
  <si>
    <t>Total HRA</t>
  </si>
  <si>
    <t>TOTAL DA</t>
  </si>
  <si>
    <t>TOTAL TRAVEL</t>
  </si>
  <si>
    <t>TOTAL CTC</t>
  </si>
  <si>
    <t>SALARY EARNED</t>
  </si>
  <si>
    <t>Total PF</t>
  </si>
  <si>
    <t>Total ESI</t>
  </si>
  <si>
    <t>Sum of Gross Salary</t>
  </si>
  <si>
    <t>Count of Department</t>
  </si>
  <si>
    <t>Count of Designation</t>
  </si>
  <si>
    <t>Feb</t>
  </si>
  <si>
    <t>Dec</t>
  </si>
  <si>
    <t>Total Gross Salary</t>
  </si>
  <si>
    <t>Total CTC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</si>
</sst>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2" x14ac:knownFonts="1">
    <font>
      <sz val="11"/>
      <color theme="1"/>
      <name val="Calibri"/>
      <family val="2"/>
      <scheme val="minor"/>
    </font>
    <font>
      <sz val="16"/>
      <color theme="1"/>
      <name val="Arial Black"/>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s>
  <cellStyleXfs count="1">
    <xf numFmtId="0" fontId="0" fillId="0" borderId="0"/>
  </cellStyleXfs>
  <cellXfs count="14">
    <xf numFmtId="0" fontId="0" fillId="0" borderId="0" xfId="0"/>
    <xf numFmtId="0" fontId="0" fillId="2" borderId="1" xfId="0" applyFill="1" applyBorder="1"/>
    <xf numFmtId="14" fontId="0" fillId="2" borderId="1" xfId="0" applyNumberFormat="1" applyFill="1" applyBorder="1"/>
    <xf numFmtId="0" fontId="0" fillId="2" borderId="2" xfId="0" applyFill="1" applyBorder="1"/>
    <xf numFmtId="0" fontId="0" fillId="0" borderId="1" xfId="0" applyBorder="1"/>
    <xf numFmtId="164" fontId="0" fillId="0" borderId="1" xfId="0" applyNumberFormat="1" applyBorder="1"/>
    <xf numFmtId="165" fontId="0" fillId="0" borderId="1" xfId="0" applyNumberFormat="1" applyBorder="1"/>
    <xf numFmtId="14" fontId="0" fillId="0" borderId="1" xfId="0" applyNumberFormat="1" applyBorder="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alignment horizontal="center"/>
    </xf>
    <xf numFmtId="165" fontId="1" fillId="0" borderId="0" xfId="0" applyNumberFormat="1" applyFont="1" applyAlignment="1">
      <alignment horizontal="center"/>
    </xf>
  </cellXfs>
  <cellStyles count="1">
    <cellStyle name="Normal" xfId="0" builtinId="0"/>
  </cellStyles>
  <dxfs count="25">
    <dxf>
      <font>
        <b/>
        <i val="0"/>
        <sz val="11"/>
      </font>
      <fill>
        <patternFill>
          <bgColor theme="0"/>
        </patternFill>
      </fill>
    </dxf>
    <dxf>
      <font>
        <b/>
        <i val="0"/>
        <sz val="10"/>
        <name val="Aptos"/>
        <family val="2"/>
        <scheme val="none"/>
      </font>
      <fill>
        <patternFill>
          <bgColor theme="0"/>
        </patternFill>
      </fill>
    </dxf>
    <dxf>
      <fill>
        <patternFill>
          <bgColor theme="0"/>
        </patternFill>
      </fill>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sz val="16"/>
      </font>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font>
        <name val="Segoe UI Semibold"/>
        <family val="2"/>
        <scheme val="none"/>
      </font>
      <fill>
        <patternFill>
          <bgColor theme="0"/>
        </patternFill>
      </fill>
    </dxf>
    <dxf>
      <font>
        <name val="Segoe UI Semilight"/>
        <family val="2"/>
        <scheme val="none"/>
      </font>
      <fill>
        <patternFill>
          <bgColor theme="0"/>
        </patternFill>
      </fill>
    </dxf>
    <dxf>
      <font>
        <name val="Segoe UI Semibold"/>
        <family val="2"/>
        <scheme val="none"/>
      </font>
      <fill>
        <patternFill>
          <bgColor theme="0"/>
        </patternFill>
      </fill>
    </dxf>
    <dxf>
      <fill>
        <patternFill patternType="solid">
          <bgColor theme="0"/>
        </patternFill>
      </fill>
    </dxf>
  </dxfs>
  <tableStyles count="8" defaultTableStyle="TableStyleMedium2" defaultPivotStyle="PivotStyleLight16">
    <tableStyle name="PivotTable Style 1" table="0" count="1" xr9:uid="{9E8BDF0D-F0AF-47E1-9A29-2F41C1660D59}">
      <tableStyleElement type="wholeTable" dxfId="24"/>
    </tableStyle>
    <tableStyle name="PivotTable Style 2" table="0" count="1" xr9:uid="{029AD69F-6159-4916-A3F3-38CD3DF4196A}">
      <tableStyleElement type="wholeTable" dxfId="2"/>
    </tableStyle>
    <tableStyle name="Slicer Style 1" pivot="0" table="0" count="4" xr9:uid="{F2DA98FF-AE1F-4572-ABD0-A9FE7BA3D497}">
      <tableStyleElement type="wholeTable" dxfId="23"/>
    </tableStyle>
    <tableStyle name="Slicer Style 2" pivot="0" table="0" count="1" xr9:uid="{CFB02F7E-26EC-4272-A6EF-C23CE281F1F9}">
      <tableStyleElement type="wholeTable" dxfId="22"/>
    </tableStyle>
    <tableStyle name="Slicer Style 3" pivot="0" table="0" count="1" xr9:uid="{6F5615C0-2441-4099-AD21-267EFEB0B38A}">
      <tableStyleElement type="wholeTable" dxfId="21"/>
    </tableStyle>
    <tableStyle name="Slicer Style 4" pivot="0" table="0" count="1" xr9:uid="{5A41A798-C968-462E-AF74-AED9ADF2E25F}"/>
    <tableStyle name="Slicer Style 5" pivot="0" table="0" count="1" xr9:uid="{587C7058-EA1D-4624-94C0-30C7D4AF2069}">
      <tableStyleElement type="wholeTable" dxfId="1"/>
    </tableStyle>
    <tableStyle name="Slicer Style 6" pivot="0" table="0" count="1" xr9:uid="{6A83ACD7-A6E0-40C4-AB3C-48D05512077C}">
      <tableStyleElement type="wholeTable" dxfId="0"/>
    </tableStyle>
  </tableStyles>
  <extLst>
    <ext xmlns:x14="http://schemas.microsoft.com/office/spreadsheetml/2009/9/main" uri="{46F421CA-312F-682f-3DD2-61675219B42D}">
      <x14:dxfs count="4">
        <dxf>
          <font>
            <b/>
            <i val="0"/>
            <sz val="10"/>
            <name val="Calibri"/>
            <family val="2"/>
            <scheme val="minor"/>
          </font>
        </dxf>
        <dxf>
          <fill>
            <patternFill>
              <bgColor rgb="FF002060"/>
            </patternFill>
          </fill>
        </dxf>
        <dxf>
          <fill>
            <patternFill>
              <bgColor theme="8"/>
            </patternFill>
          </fill>
        </dxf>
        <dxf>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hoveredUnselectedItemWithData" dxfId="3"/>
            <x14:slicerStyleElement type="hoveredSelectedItemWithData" dxfId="2"/>
            <x14:slicerStyleElement type="hoveredSelectedItemWithNoData" dxfId="1"/>
          </x14:slicerStyleElements>
        </x14:slicerStyle>
        <x14:slicerStyle name="Slicer Style 2"/>
        <x14:slicerStyle name="Slicer Style 3"/>
        <x14:slicerStyle name="Slicer Style 4">
          <x14:slicerStyleElements>
            <x14:slicerStyleElement type="selectedItemWithData" dxfId="0"/>
          </x14:slicerStyleElements>
        </x14:slicerStyle>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Expense Report.xlsx]Report!PivotTable1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latin typeface="Segoe UI Semibold" panose="020B0702040204020203" pitchFamily="34" charset="0"/>
                <a:cs typeface="Segoe UI Semibold" panose="020B0702040204020203" pitchFamily="34" charset="0"/>
              </a:rPr>
              <a:t>MonTHLY</a:t>
            </a:r>
            <a:r>
              <a:rPr lang="en-IN" baseline="0">
                <a:latin typeface="Segoe UI Semibold" panose="020B0702040204020203" pitchFamily="34" charset="0"/>
                <a:cs typeface="Segoe UI Semibold" panose="020B0702040204020203" pitchFamily="34" charset="0"/>
              </a:rPr>
              <a:t> ALLOWANCE </a:t>
            </a:r>
            <a:endParaRPr lang="en-IN">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Report!$B$3</c:f>
              <c:strCache>
                <c:ptCount val="1"/>
                <c:pt idx="0">
                  <c:v>Total HRA</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Report!$A$4:$A$7</c:f>
              <c:strCache>
                <c:ptCount val="3"/>
                <c:pt idx="0">
                  <c:v>Jan</c:v>
                </c:pt>
                <c:pt idx="1">
                  <c:v>Feb</c:v>
                </c:pt>
                <c:pt idx="2">
                  <c:v>Dec</c:v>
                </c:pt>
              </c:strCache>
            </c:strRef>
          </c:cat>
          <c:val>
            <c:numRef>
              <c:f>Report!$B$4:$B$7</c:f>
              <c:numCache>
                <c:formatCode>"₹"\ #,##0</c:formatCode>
                <c:ptCount val="3"/>
                <c:pt idx="0">
                  <c:v>97790</c:v>
                </c:pt>
                <c:pt idx="1">
                  <c:v>99427.222222222219</c:v>
                </c:pt>
                <c:pt idx="2">
                  <c:v>97793.888888888891</c:v>
                </c:pt>
              </c:numCache>
            </c:numRef>
          </c:val>
          <c:extLst>
            <c:ext xmlns:c16="http://schemas.microsoft.com/office/drawing/2014/chart" uri="{C3380CC4-5D6E-409C-BE32-E72D297353CC}">
              <c16:uniqueId val="{00000000-DECA-4B39-BD46-E7A440C163FC}"/>
            </c:ext>
          </c:extLst>
        </c:ser>
        <c:ser>
          <c:idx val="1"/>
          <c:order val="1"/>
          <c:tx>
            <c:strRef>
              <c:f>Report!$C$3</c:f>
              <c:strCache>
                <c:ptCount val="1"/>
                <c:pt idx="0">
                  <c:v>TOTAL DA</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Report!$A$4:$A$7</c:f>
              <c:strCache>
                <c:ptCount val="3"/>
                <c:pt idx="0">
                  <c:v>Jan</c:v>
                </c:pt>
                <c:pt idx="1">
                  <c:v>Feb</c:v>
                </c:pt>
                <c:pt idx="2">
                  <c:v>Dec</c:v>
                </c:pt>
              </c:strCache>
            </c:strRef>
          </c:cat>
          <c:val>
            <c:numRef>
              <c:f>Report!$C$4:$C$7</c:f>
              <c:numCache>
                <c:formatCode>"₹"\ #,##0</c:formatCode>
                <c:ptCount val="3"/>
                <c:pt idx="0">
                  <c:v>48895</c:v>
                </c:pt>
                <c:pt idx="1">
                  <c:v>49713.611111111109</c:v>
                </c:pt>
                <c:pt idx="2">
                  <c:v>48896.944444444445</c:v>
                </c:pt>
              </c:numCache>
            </c:numRef>
          </c:val>
          <c:extLst>
            <c:ext xmlns:c16="http://schemas.microsoft.com/office/drawing/2014/chart" uri="{C3380CC4-5D6E-409C-BE32-E72D297353CC}">
              <c16:uniqueId val="{00000001-DECA-4B39-BD46-E7A440C163FC}"/>
            </c:ext>
          </c:extLst>
        </c:ser>
        <c:ser>
          <c:idx val="2"/>
          <c:order val="2"/>
          <c:tx>
            <c:strRef>
              <c:f>Report!$D$3</c:f>
              <c:strCache>
                <c:ptCount val="1"/>
                <c:pt idx="0">
                  <c:v>TOTAL TRAVEL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Report!$A$4:$A$7</c:f>
              <c:strCache>
                <c:ptCount val="3"/>
                <c:pt idx="0">
                  <c:v>Jan</c:v>
                </c:pt>
                <c:pt idx="1">
                  <c:v>Feb</c:v>
                </c:pt>
                <c:pt idx="2">
                  <c:v>Dec</c:v>
                </c:pt>
              </c:strCache>
            </c:strRef>
          </c:cat>
          <c:val>
            <c:numRef>
              <c:f>Report!$D$4:$D$7</c:f>
              <c:numCache>
                <c:formatCode>"₹"\ #,##0</c:formatCode>
                <c:ptCount val="3"/>
                <c:pt idx="0">
                  <c:v>39116</c:v>
                </c:pt>
                <c:pt idx="1">
                  <c:v>39770.888888888891</c:v>
                </c:pt>
                <c:pt idx="2">
                  <c:v>39117.555555555555</c:v>
                </c:pt>
              </c:numCache>
            </c:numRef>
          </c:val>
          <c:extLst>
            <c:ext xmlns:c16="http://schemas.microsoft.com/office/drawing/2014/chart" uri="{C3380CC4-5D6E-409C-BE32-E72D297353CC}">
              <c16:uniqueId val="{00000002-DECA-4B39-BD46-E7A440C163FC}"/>
            </c:ext>
          </c:extLst>
        </c:ser>
        <c:dLbls>
          <c:showLegendKey val="0"/>
          <c:showVal val="0"/>
          <c:showCatName val="0"/>
          <c:showSerName val="0"/>
          <c:showPercent val="0"/>
          <c:showBubbleSize val="0"/>
        </c:dLbls>
        <c:gapWidth val="355"/>
        <c:overlap val="-70"/>
        <c:axId val="2037379231"/>
        <c:axId val="1916221359"/>
      </c:barChart>
      <c:catAx>
        <c:axId val="2037379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221359"/>
        <c:crosses val="autoZero"/>
        <c:auto val="1"/>
        <c:lblAlgn val="ctr"/>
        <c:lblOffset val="100"/>
        <c:noMultiLvlLbl val="0"/>
      </c:catAx>
      <c:valAx>
        <c:axId val="1916221359"/>
        <c:scaling>
          <c:orientation val="minMax"/>
        </c:scaling>
        <c:delete val="1"/>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quot;₹&quot;\ #,##0" sourceLinked="1"/>
        <c:majorTickMark val="out"/>
        <c:minorTickMark val="none"/>
        <c:tickLblPos val="nextTo"/>
        <c:crossAx val="20373792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97000"/>
        </a:schemeClr>
      </a:solidFill>
      <a:round/>
    </a:ln>
    <a:effectLst>
      <a:glow rad="101600">
        <a:schemeClr val="accent2">
          <a:satMod val="175000"/>
          <a:alpha val="40000"/>
        </a:schemeClr>
      </a:glow>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Expense Report.xlsx]Report!PivotTable2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672970843183611E-2"/>
          <c:y val="0.31045055354239892"/>
          <c:w val="0.96217494089834499"/>
          <c:h val="0.60558973380922543"/>
        </c:manualLayout>
      </c:layout>
      <c:bar3DChart>
        <c:barDir val="col"/>
        <c:grouping val="stacked"/>
        <c:varyColors val="0"/>
        <c:ser>
          <c:idx val="0"/>
          <c:order val="0"/>
          <c:tx>
            <c:strRef>
              <c:f>Report!$C$11</c:f>
              <c:strCache>
                <c:ptCount val="1"/>
                <c:pt idx="0">
                  <c:v>TOTAL CTC</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Report!$B$12:$B$15</c:f>
              <c:strCache>
                <c:ptCount val="3"/>
                <c:pt idx="0">
                  <c:v>Jan</c:v>
                </c:pt>
                <c:pt idx="1">
                  <c:v>Feb</c:v>
                </c:pt>
                <c:pt idx="2">
                  <c:v>Dec</c:v>
                </c:pt>
              </c:strCache>
            </c:strRef>
          </c:cat>
          <c:val>
            <c:numRef>
              <c:f>Report!$C$12:$C$15</c:f>
              <c:numCache>
                <c:formatCode>"₹"\ #,##0</c:formatCode>
                <c:ptCount val="3"/>
                <c:pt idx="0">
                  <c:v>597506.42451388889</c:v>
                </c:pt>
                <c:pt idx="1">
                  <c:v>607659.32020833343</c:v>
                </c:pt>
                <c:pt idx="2">
                  <c:v>597770.70909722219</c:v>
                </c:pt>
              </c:numCache>
            </c:numRef>
          </c:val>
          <c:extLst>
            <c:ext xmlns:c16="http://schemas.microsoft.com/office/drawing/2014/chart" uri="{C3380CC4-5D6E-409C-BE32-E72D297353CC}">
              <c16:uniqueId val="{00000000-92EC-4870-B87E-EECEC00236EB}"/>
            </c:ext>
          </c:extLst>
        </c:ser>
        <c:ser>
          <c:idx val="1"/>
          <c:order val="1"/>
          <c:tx>
            <c:strRef>
              <c:f>Report!$D$11</c:f>
              <c:strCache>
                <c:ptCount val="1"/>
                <c:pt idx="0">
                  <c:v>SALARY EARNED</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Report!$B$12:$B$15</c:f>
              <c:strCache>
                <c:ptCount val="3"/>
                <c:pt idx="0">
                  <c:v>Jan</c:v>
                </c:pt>
                <c:pt idx="1">
                  <c:v>Feb</c:v>
                </c:pt>
                <c:pt idx="2">
                  <c:v>Dec</c:v>
                </c:pt>
              </c:strCache>
            </c:strRef>
          </c:cat>
          <c:val>
            <c:numRef>
              <c:f>Report!$D$12:$D$15</c:f>
              <c:numCache>
                <c:formatCode>"₹"\ #,##0</c:formatCode>
                <c:ptCount val="3"/>
                <c:pt idx="0">
                  <c:v>488949.99999999994</c:v>
                </c:pt>
                <c:pt idx="1">
                  <c:v>497136.11111111107</c:v>
                </c:pt>
                <c:pt idx="2">
                  <c:v>488969.44444444444</c:v>
                </c:pt>
              </c:numCache>
            </c:numRef>
          </c:val>
          <c:extLst>
            <c:ext xmlns:c16="http://schemas.microsoft.com/office/drawing/2014/chart" uri="{C3380CC4-5D6E-409C-BE32-E72D297353CC}">
              <c16:uniqueId val="{00000001-92EC-4870-B87E-EECEC00236EB}"/>
            </c:ext>
          </c:extLst>
        </c:ser>
        <c:dLbls>
          <c:showLegendKey val="0"/>
          <c:showVal val="1"/>
          <c:showCatName val="0"/>
          <c:showSerName val="0"/>
          <c:showPercent val="0"/>
          <c:showBubbleSize val="0"/>
        </c:dLbls>
        <c:gapWidth val="150"/>
        <c:shape val="box"/>
        <c:axId val="2045950783"/>
        <c:axId val="1916205039"/>
        <c:axId val="0"/>
      </c:bar3DChart>
      <c:catAx>
        <c:axId val="2045950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205039"/>
        <c:crosses val="autoZero"/>
        <c:auto val="1"/>
        <c:lblAlgn val="ctr"/>
        <c:lblOffset val="100"/>
        <c:noMultiLvlLbl val="0"/>
      </c:catAx>
      <c:valAx>
        <c:axId val="1916205039"/>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crossAx val="20459507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2">
          <a:satMod val="175000"/>
          <a:alpha val="40000"/>
        </a:schemeClr>
      </a:glow>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Expense Report.xlsx]Report!PivotTable3</c:name>
    <c:fmtId val="21"/>
  </c:pivotSource>
  <c:chart>
    <c:title>
      <c:tx>
        <c:rich>
          <a:bodyPr rot="0" spcFirstLastPara="1" vertOverflow="ellipsis" vert="horz" wrap="square" anchor="ctr" anchorCtr="1"/>
          <a:lstStyle/>
          <a:p>
            <a:pPr>
              <a:defRPr lang="en-US" sz="1080" b="0" i="0" u="none" strike="noStrike" kern="1200" cap="all" spc="50" baseline="0">
                <a:solidFill>
                  <a:schemeClr val="dk1"/>
                </a:solidFill>
                <a:latin typeface="+mn-lt"/>
                <a:ea typeface="+mn-ea"/>
                <a:cs typeface="+mn-cs"/>
              </a:defRPr>
            </a:pPr>
            <a:r>
              <a:rPr lang="en-IN"/>
              <a:t>MONTHLY PF &amp; ASI </a:t>
            </a:r>
          </a:p>
        </c:rich>
      </c:tx>
      <c:overlay val="0"/>
      <c:spPr>
        <a:noFill/>
        <a:ln>
          <a:noFill/>
        </a:ln>
        <a:effectLst/>
      </c:spPr>
      <c:txPr>
        <a:bodyPr rot="0" spcFirstLastPara="1" vertOverflow="ellipsis" vert="horz" wrap="square" anchor="ctr" anchorCtr="1"/>
        <a:lstStyle/>
        <a:p>
          <a:pPr>
            <a:defRPr lang="en-US" sz="1080" b="0" i="0" u="none" strike="noStrike" kern="1200" cap="all" spc="50" baseline="0">
              <a:solidFill>
                <a:schemeClr val="dk1"/>
              </a:solidFill>
              <a:latin typeface="+mn-lt"/>
              <a:ea typeface="+mn-ea"/>
              <a:cs typeface="+mn-cs"/>
            </a:defRPr>
          </a:pPr>
          <a:endParaRPr lang="en-US"/>
        </a:p>
      </c:txPr>
    </c:title>
    <c:autoTitleDeleted val="0"/>
    <c:pivotFmts>
      <c:pivotFmt>
        <c:idx val="0"/>
        <c:spPr>
          <a:gradFill>
            <a:gsLst>
              <a:gs pos="100000">
                <a:schemeClr val="accent2">
                  <a:alpha val="0"/>
                </a:schemeClr>
              </a:gs>
              <a:gs pos="50000">
                <a:schemeClr val="accent2"/>
              </a:gs>
            </a:gsLst>
            <a:lin ang="5400000" scaled="0"/>
          </a:gradFill>
          <a:ln>
            <a:noFill/>
          </a:ln>
          <a:effectLst/>
          <a:sp3d/>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100000">
                <a:schemeClr val="accent2">
                  <a:alpha val="0"/>
                </a:schemeClr>
              </a:gs>
              <a:gs pos="50000">
                <a:schemeClr val="accent2"/>
              </a:gs>
            </a:gsLst>
            <a:lin ang="5400000" scaled="0"/>
          </a:gradFill>
          <a:ln>
            <a:noFill/>
          </a:ln>
          <a:effectLst/>
          <a:sp3d/>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Report!$C$21</c:f>
              <c:strCache>
                <c:ptCount val="1"/>
                <c:pt idx="0">
                  <c:v>Total PF</c:v>
                </c:pt>
              </c:strCache>
            </c:strRef>
          </c:tx>
          <c:spPr>
            <a:gradFill>
              <a:gsLst>
                <a:gs pos="100000">
                  <a:schemeClr val="accent2">
                    <a:alpha val="0"/>
                  </a:schemeClr>
                </a:gs>
                <a:gs pos="50000">
                  <a:schemeClr val="accent2"/>
                </a:gs>
              </a:gsLst>
              <a:lin ang="5400000" scaled="0"/>
            </a:gradFill>
            <a:ln>
              <a:noFill/>
            </a:ln>
            <a:effectLst/>
            <a:sp3d/>
          </c:spPr>
          <c:invertIfNegative val="0"/>
          <c:dLbls>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Report!$B$22:$B$25</c:f>
              <c:strCache>
                <c:ptCount val="3"/>
                <c:pt idx="0">
                  <c:v>Jan</c:v>
                </c:pt>
                <c:pt idx="1">
                  <c:v>Feb</c:v>
                </c:pt>
                <c:pt idx="2">
                  <c:v>Dec</c:v>
                </c:pt>
              </c:strCache>
            </c:strRef>
          </c:cat>
          <c:val>
            <c:numRef>
              <c:f>Report!$C$22:$C$25</c:f>
              <c:numCache>
                <c:formatCode>"₹"\ #,##0</c:formatCode>
                <c:ptCount val="3"/>
                <c:pt idx="0">
                  <c:v>58674</c:v>
                </c:pt>
                <c:pt idx="1">
                  <c:v>59656.333333333328</c:v>
                </c:pt>
                <c:pt idx="2">
                  <c:v>58676.333333333328</c:v>
                </c:pt>
              </c:numCache>
            </c:numRef>
          </c:val>
          <c:extLst>
            <c:ext xmlns:c16="http://schemas.microsoft.com/office/drawing/2014/chart" uri="{C3380CC4-5D6E-409C-BE32-E72D297353CC}">
              <c16:uniqueId val="{00000000-07D4-4FDF-9BA7-BE5A510F9A6F}"/>
            </c:ext>
          </c:extLst>
        </c:ser>
        <c:ser>
          <c:idx val="1"/>
          <c:order val="1"/>
          <c:tx>
            <c:strRef>
              <c:f>Report!$D$21</c:f>
              <c:strCache>
                <c:ptCount val="1"/>
                <c:pt idx="0">
                  <c:v>Total ESI</c:v>
                </c:pt>
              </c:strCache>
            </c:strRef>
          </c:tx>
          <c:spPr>
            <a:gradFill>
              <a:gsLst>
                <a:gs pos="100000">
                  <a:schemeClr val="accent4">
                    <a:alpha val="0"/>
                  </a:schemeClr>
                </a:gs>
                <a:gs pos="50000">
                  <a:schemeClr val="accent4"/>
                </a:gs>
              </a:gsLst>
              <a:lin ang="5400000" scaled="0"/>
            </a:gradFill>
            <a:ln>
              <a:noFill/>
            </a:ln>
            <a:effectLst/>
            <a:sp3d/>
          </c:spPr>
          <c:invertIfNegative val="0"/>
          <c:dLbls>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Report!$B$22:$B$25</c:f>
              <c:strCache>
                <c:ptCount val="3"/>
                <c:pt idx="0">
                  <c:v>Jan</c:v>
                </c:pt>
                <c:pt idx="1">
                  <c:v>Feb</c:v>
                </c:pt>
                <c:pt idx="2">
                  <c:v>Dec</c:v>
                </c:pt>
              </c:strCache>
            </c:strRef>
          </c:cat>
          <c:val>
            <c:numRef>
              <c:f>Report!$D$22:$D$25</c:f>
              <c:numCache>
                <c:formatCode>"₹"\ #,##0</c:formatCode>
                <c:ptCount val="3"/>
                <c:pt idx="0">
                  <c:v>5164.2106249999997</c:v>
                </c:pt>
                <c:pt idx="1">
                  <c:v>5248.9368750000003</c:v>
                </c:pt>
                <c:pt idx="2">
                  <c:v>5164.4118749999998</c:v>
                </c:pt>
              </c:numCache>
            </c:numRef>
          </c:val>
          <c:extLst>
            <c:ext xmlns:c16="http://schemas.microsoft.com/office/drawing/2014/chart" uri="{C3380CC4-5D6E-409C-BE32-E72D297353CC}">
              <c16:uniqueId val="{00000001-07D4-4FDF-9BA7-BE5A510F9A6F}"/>
            </c:ext>
          </c:extLst>
        </c:ser>
        <c:dLbls>
          <c:showLegendKey val="0"/>
          <c:showVal val="0"/>
          <c:showCatName val="0"/>
          <c:showSerName val="0"/>
          <c:showPercent val="0"/>
          <c:showBubbleSize val="0"/>
        </c:dLbls>
        <c:gapWidth val="150"/>
        <c:gapDepth val="0"/>
        <c:shape val="box"/>
        <c:axId val="949587856"/>
        <c:axId val="125584"/>
        <c:axId val="0"/>
      </c:bar3DChart>
      <c:catAx>
        <c:axId val="949587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25584"/>
        <c:crosses val="autoZero"/>
        <c:auto val="1"/>
        <c:lblAlgn val="ctr"/>
        <c:lblOffset val="100"/>
        <c:noMultiLvlLbl val="0"/>
      </c:catAx>
      <c:valAx>
        <c:axId val="125584"/>
        <c:scaling>
          <c:orientation val="minMax"/>
        </c:scaling>
        <c:delete val="1"/>
        <c:axPos val="l"/>
        <c:majorGridlines>
          <c:spPr>
            <a:ln w="9525" cap="flat" cmpd="sng" algn="ctr">
              <a:solidFill>
                <a:schemeClr val="tx1">
                  <a:lumMod val="5000"/>
                  <a:lumOff val="95000"/>
                </a:schemeClr>
              </a:solidFill>
              <a:round/>
            </a:ln>
            <a:effectLst/>
          </c:spPr>
        </c:majorGridlines>
        <c:numFmt formatCode="&quot;₹&quot;\ #,##0" sourceLinked="1"/>
        <c:majorTickMark val="none"/>
        <c:minorTickMark val="none"/>
        <c:tickLblPos val="nextTo"/>
        <c:crossAx val="949587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2">
          <a:satMod val="175000"/>
          <a:alpha val="40000"/>
        </a:schemeClr>
      </a:glow>
      <a:outerShdw blurRad="50800" dist="38100" dir="13500000" algn="br" rotWithShape="0">
        <a:prstClr val="black">
          <a:alpha val="40000"/>
        </a:prst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Expense Report.xlsx]Report!PivotTable4</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Gross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32435864238674972"/>
          <c:y val="0.18687664041994753"/>
          <c:w val="0.35022600861333891"/>
          <c:h val="0.71508414389377795"/>
        </c:manualLayout>
      </c:layout>
      <c:doughnutChart>
        <c:varyColors val="1"/>
        <c:ser>
          <c:idx val="0"/>
          <c:order val="0"/>
          <c:tx>
            <c:strRef>
              <c:f>Report!$C$30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1BFB-41B3-82F3-3184900E30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1BFB-41B3-82F3-3184900E30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AF-4C8A-8290-318C896A54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1BFB-41B3-82F3-3184900E303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Report!$B$31:$B$35</c:f>
              <c:strCache>
                <c:ptCount val="4"/>
                <c:pt idx="0">
                  <c:v>Accounts</c:v>
                </c:pt>
                <c:pt idx="1">
                  <c:v>HR</c:v>
                </c:pt>
                <c:pt idx="2">
                  <c:v>IT</c:v>
                </c:pt>
                <c:pt idx="3">
                  <c:v>Sales</c:v>
                </c:pt>
              </c:strCache>
            </c:strRef>
          </c:cat>
          <c:val>
            <c:numRef>
              <c:f>Report!$C$31:$C$35</c:f>
              <c:numCache>
                <c:formatCode>"₹"\ #,##0</c:formatCode>
                <c:ptCount val="4"/>
                <c:pt idx="0">
                  <c:v>91420</c:v>
                </c:pt>
                <c:pt idx="1">
                  <c:v>193011</c:v>
                </c:pt>
                <c:pt idx="2">
                  <c:v>921488.16666666651</c:v>
                </c:pt>
                <c:pt idx="3">
                  <c:v>871088.75</c:v>
                </c:pt>
              </c:numCache>
            </c:numRef>
          </c:val>
          <c:extLst>
            <c:ext xmlns:c16="http://schemas.microsoft.com/office/drawing/2014/chart" uri="{C3380CC4-5D6E-409C-BE32-E72D297353CC}">
              <c16:uniqueId val="{00000000-1BFB-41B3-82F3-3184900E303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2">
          <a:satMod val="175000"/>
          <a:alpha val="40000"/>
        </a:scheme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[Hr Analytics Expense Report.xlsx]Report!PivotTable5</c:name>
    <c:fmtId val="4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EMPLOYEE</a:t>
            </a:r>
            <a:r>
              <a:rPr lang="en-US" baseline="0"/>
              <a:t> BY DEPT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alpha val="74000"/>
            </a:schemeClr>
          </a:solidFill>
          <a:ln>
            <a:noFill/>
          </a:ln>
          <a:effectLst>
            <a:innerShdw blurRad="114300">
              <a:schemeClr val="dk1">
                <a:tint val="88500"/>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tint val="88500"/>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Report!$C$41</c:f>
              <c:strCache>
                <c:ptCount val="1"/>
                <c:pt idx="0">
                  <c:v>Total</c:v>
                </c:pt>
              </c:strCache>
            </c:strRef>
          </c:tx>
          <c:spPr>
            <a:solidFill>
              <a:schemeClr val="dk1">
                <a:tint val="88500"/>
                <a:alpha val="74000"/>
              </a:schemeClr>
            </a:solidFill>
            <a:ln>
              <a:noFill/>
            </a:ln>
            <a:effectLst>
              <a:innerShdw blurRad="114300">
                <a:schemeClr val="dk1">
                  <a:tint val="885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tint val="885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Report!$B$42:$B$46</c:f>
              <c:strCache>
                <c:ptCount val="4"/>
                <c:pt idx="0">
                  <c:v>Accounts</c:v>
                </c:pt>
                <c:pt idx="1">
                  <c:v>HR</c:v>
                </c:pt>
                <c:pt idx="2">
                  <c:v>IT</c:v>
                </c:pt>
                <c:pt idx="3">
                  <c:v>Sales</c:v>
                </c:pt>
              </c:strCache>
            </c:strRef>
          </c:cat>
          <c:val>
            <c:numRef>
              <c:f>Report!$C$42:$C$46</c:f>
              <c:numCache>
                <c:formatCode>General</c:formatCode>
                <c:ptCount val="4"/>
                <c:pt idx="0">
                  <c:v>3</c:v>
                </c:pt>
                <c:pt idx="1">
                  <c:v>3</c:v>
                </c:pt>
                <c:pt idx="2">
                  <c:v>21</c:v>
                </c:pt>
                <c:pt idx="3">
                  <c:v>15</c:v>
                </c:pt>
              </c:numCache>
            </c:numRef>
          </c:val>
          <c:extLst>
            <c:ext xmlns:c16="http://schemas.microsoft.com/office/drawing/2014/chart" uri="{C3380CC4-5D6E-409C-BE32-E72D297353CC}">
              <c16:uniqueId val="{00000000-62DD-4DC0-B960-1CDD0030D391}"/>
            </c:ext>
          </c:extLst>
        </c:ser>
        <c:dLbls>
          <c:showLegendKey val="0"/>
          <c:showVal val="1"/>
          <c:showCatName val="0"/>
          <c:showSerName val="0"/>
          <c:showPercent val="0"/>
          <c:showBubbleSize val="0"/>
        </c:dLbls>
        <c:axId val="15290704"/>
        <c:axId val="989798384"/>
      </c:areaChart>
      <c:catAx>
        <c:axId val="15290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89798384"/>
        <c:crosses val="autoZero"/>
        <c:auto val="1"/>
        <c:lblAlgn val="ctr"/>
        <c:lblOffset val="100"/>
        <c:noMultiLvlLbl val="0"/>
      </c:catAx>
      <c:valAx>
        <c:axId val="98979838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2907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glow rad="101600">
        <a:schemeClr val="accent2">
          <a:satMod val="175000"/>
          <a:alpha val="40000"/>
        </a:scheme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Expense Report.xlsx]Report!PivotTable7</c:name>
    <c:fmtId val="4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Report!$H$44</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Report!$G$45:$G$54</c:f>
              <c:strCache>
                <c:ptCount val="9"/>
                <c:pt idx="0">
                  <c:v>Customer Support</c:v>
                </c:pt>
                <c:pt idx="1">
                  <c:v>Account Manager</c:v>
                </c:pt>
                <c:pt idx="2">
                  <c:v>Accountant</c:v>
                </c:pt>
                <c:pt idx="3">
                  <c:v>Data Executive</c:v>
                </c:pt>
                <c:pt idx="4">
                  <c:v>Manager</c:v>
                </c:pt>
                <c:pt idx="5">
                  <c:v>Hr Executive</c:v>
                </c:pt>
                <c:pt idx="6">
                  <c:v>Data Analyst</c:v>
                </c:pt>
                <c:pt idx="7">
                  <c:v>Developer</c:v>
                </c:pt>
                <c:pt idx="8">
                  <c:v>Cunsultant</c:v>
                </c:pt>
              </c:strCache>
            </c:strRef>
          </c:cat>
          <c:val>
            <c:numRef>
              <c:f>Report!$H$45:$H$54</c:f>
              <c:numCache>
                <c:formatCode>General</c:formatCode>
                <c:ptCount val="9"/>
                <c:pt idx="0">
                  <c:v>3</c:v>
                </c:pt>
                <c:pt idx="1">
                  <c:v>3</c:v>
                </c:pt>
                <c:pt idx="2">
                  <c:v>3</c:v>
                </c:pt>
                <c:pt idx="3">
                  <c:v>3</c:v>
                </c:pt>
                <c:pt idx="4">
                  <c:v>3</c:v>
                </c:pt>
                <c:pt idx="5">
                  <c:v>3</c:v>
                </c:pt>
                <c:pt idx="6">
                  <c:v>6</c:v>
                </c:pt>
                <c:pt idx="7">
                  <c:v>6</c:v>
                </c:pt>
                <c:pt idx="8">
                  <c:v>12</c:v>
                </c:pt>
              </c:numCache>
            </c:numRef>
          </c:val>
          <c:extLst>
            <c:ext xmlns:c16="http://schemas.microsoft.com/office/drawing/2014/chart" uri="{C3380CC4-5D6E-409C-BE32-E72D297353CC}">
              <c16:uniqueId val="{00000000-6E1A-481C-A8E9-A790F5F9B49E}"/>
            </c:ext>
          </c:extLst>
        </c:ser>
        <c:dLbls>
          <c:dLblPos val="outEnd"/>
          <c:showLegendKey val="0"/>
          <c:showVal val="1"/>
          <c:showCatName val="0"/>
          <c:showSerName val="0"/>
          <c:showPercent val="0"/>
          <c:showBubbleSize val="0"/>
        </c:dLbls>
        <c:gapWidth val="102"/>
        <c:overlap val="-20"/>
        <c:axId val="1025047584"/>
        <c:axId val="989785904"/>
      </c:barChart>
      <c:catAx>
        <c:axId val="102504758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785904"/>
        <c:crosses val="autoZero"/>
        <c:auto val="1"/>
        <c:lblAlgn val="ctr"/>
        <c:lblOffset val="100"/>
        <c:noMultiLvlLbl val="0"/>
      </c:catAx>
      <c:valAx>
        <c:axId val="989785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04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2">
          <a:satMod val="175000"/>
          <a:alpha val="40000"/>
        </a:scheme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Expense Report.xlsx]Report!PivotTable1</c:name>
    <c:fmtId val="1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latin typeface="Segoe UI Semibold" panose="020B0702040204020203" pitchFamily="34" charset="0"/>
                <a:cs typeface="Segoe UI Semibold" panose="020B0702040204020203" pitchFamily="34" charset="0"/>
              </a:rPr>
              <a:t>MonTHLY</a:t>
            </a:r>
            <a:r>
              <a:rPr lang="en-IN" baseline="0">
                <a:latin typeface="Segoe UI Semibold" panose="020B0702040204020203" pitchFamily="34" charset="0"/>
                <a:cs typeface="Segoe UI Semibold" panose="020B0702040204020203" pitchFamily="34" charset="0"/>
              </a:rPr>
              <a:t> ALLOWANCE </a:t>
            </a:r>
            <a:endParaRPr lang="en-IN">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Report!$B$3</c:f>
              <c:strCache>
                <c:ptCount val="1"/>
                <c:pt idx="0">
                  <c:v>Total HRA</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Report!$A$4:$A$7</c:f>
              <c:strCache>
                <c:ptCount val="3"/>
                <c:pt idx="0">
                  <c:v>Jan</c:v>
                </c:pt>
                <c:pt idx="1">
                  <c:v>Feb</c:v>
                </c:pt>
                <c:pt idx="2">
                  <c:v>Dec</c:v>
                </c:pt>
              </c:strCache>
            </c:strRef>
          </c:cat>
          <c:val>
            <c:numRef>
              <c:f>Report!$B$4:$B$7</c:f>
              <c:numCache>
                <c:formatCode>"₹"\ #,##0</c:formatCode>
                <c:ptCount val="3"/>
                <c:pt idx="0">
                  <c:v>97790</c:v>
                </c:pt>
                <c:pt idx="1">
                  <c:v>99427.222222222219</c:v>
                </c:pt>
                <c:pt idx="2">
                  <c:v>97793.888888888891</c:v>
                </c:pt>
              </c:numCache>
            </c:numRef>
          </c:val>
          <c:extLst>
            <c:ext xmlns:c16="http://schemas.microsoft.com/office/drawing/2014/chart" uri="{C3380CC4-5D6E-409C-BE32-E72D297353CC}">
              <c16:uniqueId val="{00000000-99ED-455B-A1BC-FA2FF8F29B6B}"/>
            </c:ext>
          </c:extLst>
        </c:ser>
        <c:ser>
          <c:idx val="1"/>
          <c:order val="1"/>
          <c:tx>
            <c:strRef>
              <c:f>Report!$C$3</c:f>
              <c:strCache>
                <c:ptCount val="1"/>
                <c:pt idx="0">
                  <c:v>TOTAL DA</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Report!$A$4:$A$7</c:f>
              <c:strCache>
                <c:ptCount val="3"/>
                <c:pt idx="0">
                  <c:v>Jan</c:v>
                </c:pt>
                <c:pt idx="1">
                  <c:v>Feb</c:v>
                </c:pt>
                <c:pt idx="2">
                  <c:v>Dec</c:v>
                </c:pt>
              </c:strCache>
            </c:strRef>
          </c:cat>
          <c:val>
            <c:numRef>
              <c:f>Report!$C$4:$C$7</c:f>
              <c:numCache>
                <c:formatCode>"₹"\ #,##0</c:formatCode>
                <c:ptCount val="3"/>
                <c:pt idx="0">
                  <c:v>48895</c:v>
                </c:pt>
                <c:pt idx="1">
                  <c:v>49713.611111111109</c:v>
                </c:pt>
                <c:pt idx="2">
                  <c:v>48896.944444444445</c:v>
                </c:pt>
              </c:numCache>
            </c:numRef>
          </c:val>
          <c:extLst>
            <c:ext xmlns:c16="http://schemas.microsoft.com/office/drawing/2014/chart" uri="{C3380CC4-5D6E-409C-BE32-E72D297353CC}">
              <c16:uniqueId val="{00000001-99ED-455B-A1BC-FA2FF8F29B6B}"/>
            </c:ext>
          </c:extLst>
        </c:ser>
        <c:ser>
          <c:idx val="2"/>
          <c:order val="2"/>
          <c:tx>
            <c:strRef>
              <c:f>Report!$D$3</c:f>
              <c:strCache>
                <c:ptCount val="1"/>
                <c:pt idx="0">
                  <c:v>TOTAL TRAVEL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Report!$A$4:$A$7</c:f>
              <c:strCache>
                <c:ptCount val="3"/>
                <c:pt idx="0">
                  <c:v>Jan</c:v>
                </c:pt>
                <c:pt idx="1">
                  <c:v>Feb</c:v>
                </c:pt>
                <c:pt idx="2">
                  <c:v>Dec</c:v>
                </c:pt>
              </c:strCache>
            </c:strRef>
          </c:cat>
          <c:val>
            <c:numRef>
              <c:f>Report!$D$4:$D$7</c:f>
              <c:numCache>
                <c:formatCode>"₹"\ #,##0</c:formatCode>
                <c:ptCount val="3"/>
                <c:pt idx="0">
                  <c:v>39116</c:v>
                </c:pt>
                <c:pt idx="1">
                  <c:v>39770.888888888891</c:v>
                </c:pt>
                <c:pt idx="2">
                  <c:v>39117.555555555555</c:v>
                </c:pt>
              </c:numCache>
            </c:numRef>
          </c:val>
          <c:extLst>
            <c:ext xmlns:c16="http://schemas.microsoft.com/office/drawing/2014/chart" uri="{C3380CC4-5D6E-409C-BE32-E72D297353CC}">
              <c16:uniqueId val="{00000002-99ED-455B-A1BC-FA2FF8F29B6B}"/>
            </c:ext>
          </c:extLst>
        </c:ser>
        <c:dLbls>
          <c:showLegendKey val="0"/>
          <c:showVal val="0"/>
          <c:showCatName val="0"/>
          <c:showSerName val="0"/>
          <c:showPercent val="0"/>
          <c:showBubbleSize val="0"/>
        </c:dLbls>
        <c:gapWidth val="355"/>
        <c:overlap val="-70"/>
        <c:axId val="2037379231"/>
        <c:axId val="1916221359"/>
      </c:barChart>
      <c:catAx>
        <c:axId val="2037379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221359"/>
        <c:crosses val="autoZero"/>
        <c:auto val="1"/>
        <c:lblAlgn val="ctr"/>
        <c:lblOffset val="100"/>
        <c:noMultiLvlLbl val="0"/>
      </c:catAx>
      <c:valAx>
        <c:axId val="1916221359"/>
        <c:scaling>
          <c:orientation val="minMax"/>
        </c:scaling>
        <c:delete val="1"/>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quot;₹&quot;\ #,##0" sourceLinked="1"/>
        <c:majorTickMark val="out"/>
        <c:minorTickMark val="none"/>
        <c:tickLblPos val="nextTo"/>
        <c:crossAx val="20373792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97000"/>
        </a:schemeClr>
      </a:solidFill>
      <a:round/>
    </a:ln>
    <a:effectLst>
      <a:glow rad="101600">
        <a:schemeClr val="accent2">
          <a:satMod val="175000"/>
          <a:alpha val="40000"/>
        </a:schemeClr>
      </a:glow>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Expense Report.xlsx]Report!PivotTable2</c:name>
    <c:fmtId val="1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1800">
                <a:latin typeface="Segoe UI Semibold" panose="020B0702040204020203" pitchFamily="34" charset="0"/>
                <a:cs typeface="Segoe UI Semibold" panose="020B0702040204020203" pitchFamily="34" charset="0"/>
              </a:rPr>
              <a:t>Monthly</a:t>
            </a:r>
            <a:r>
              <a:rPr lang="en-IN" sz="1800" baseline="0">
                <a:latin typeface="Segoe UI Semibold" panose="020B0702040204020203" pitchFamily="34" charset="0"/>
                <a:cs typeface="Segoe UI Semibold" panose="020B0702040204020203" pitchFamily="34" charset="0"/>
              </a:rPr>
              <a:t> CTC v/s Basic Salary</a:t>
            </a:r>
            <a:endParaRPr lang="en-IN" sz="1800">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672970843183611E-2"/>
          <c:y val="0.31045055354239892"/>
          <c:w val="0.96217494089834499"/>
          <c:h val="0.60558973380922543"/>
        </c:manualLayout>
      </c:layout>
      <c:bar3DChart>
        <c:barDir val="col"/>
        <c:grouping val="stacked"/>
        <c:varyColors val="0"/>
        <c:ser>
          <c:idx val="0"/>
          <c:order val="0"/>
          <c:tx>
            <c:strRef>
              <c:f>Report!$C$11</c:f>
              <c:strCache>
                <c:ptCount val="1"/>
                <c:pt idx="0">
                  <c:v>TOTAL CTC</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Report!$B$12:$B$15</c:f>
              <c:strCache>
                <c:ptCount val="3"/>
                <c:pt idx="0">
                  <c:v>Jan</c:v>
                </c:pt>
                <c:pt idx="1">
                  <c:v>Feb</c:v>
                </c:pt>
                <c:pt idx="2">
                  <c:v>Dec</c:v>
                </c:pt>
              </c:strCache>
            </c:strRef>
          </c:cat>
          <c:val>
            <c:numRef>
              <c:f>Report!$C$12:$C$15</c:f>
              <c:numCache>
                <c:formatCode>"₹"\ #,##0</c:formatCode>
                <c:ptCount val="3"/>
                <c:pt idx="0">
                  <c:v>597506.42451388889</c:v>
                </c:pt>
                <c:pt idx="1">
                  <c:v>607659.32020833343</c:v>
                </c:pt>
                <c:pt idx="2">
                  <c:v>597770.70909722219</c:v>
                </c:pt>
              </c:numCache>
            </c:numRef>
          </c:val>
          <c:extLst>
            <c:ext xmlns:c16="http://schemas.microsoft.com/office/drawing/2014/chart" uri="{C3380CC4-5D6E-409C-BE32-E72D297353CC}">
              <c16:uniqueId val="{00000000-328A-4EB2-80B5-1824432F082A}"/>
            </c:ext>
          </c:extLst>
        </c:ser>
        <c:ser>
          <c:idx val="1"/>
          <c:order val="1"/>
          <c:tx>
            <c:strRef>
              <c:f>Report!$D$11</c:f>
              <c:strCache>
                <c:ptCount val="1"/>
                <c:pt idx="0">
                  <c:v>SALARY EARNED</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Report!$B$12:$B$15</c:f>
              <c:strCache>
                <c:ptCount val="3"/>
                <c:pt idx="0">
                  <c:v>Jan</c:v>
                </c:pt>
                <c:pt idx="1">
                  <c:v>Feb</c:v>
                </c:pt>
                <c:pt idx="2">
                  <c:v>Dec</c:v>
                </c:pt>
              </c:strCache>
            </c:strRef>
          </c:cat>
          <c:val>
            <c:numRef>
              <c:f>Report!$D$12:$D$15</c:f>
              <c:numCache>
                <c:formatCode>"₹"\ #,##0</c:formatCode>
                <c:ptCount val="3"/>
                <c:pt idx="0">
                  <c:v>488949.99999999994</c:v>
                </c:pt>
                <c:pt idx="1">
                  <c:v>497136.11111111107</c:v>
                </c:pt>
                <c:pt idx="2">
                  <c:v>488969.44444444444</c:v>
                </c:pt>
              </c:numCache>
            </c:numRef>
          </c:val>
          <c:extLst>
            <c:ext xmlns:c16="http://schemas.microsoft.com/office/drawing/2014/chart" uri="{C3380CC4-5D6E-409C-BE32-E72D297353CC}">
              <c16:uniqueId val="{00000001-328A-4EB2-80B5-1824432F082A}"/>
            </c:ext>
          </c:extLst>
        </c:ser>
        <c:dLbls>
          <c:showLegendKey val="0"/>
          <c:showVal val="1"/>
          <c:showCatName val="0"/>
          <c:showSerName val="0"/>
          <c:showPercent val="0"/>
          <c:showBubbleSize val="0"/>
        </c:dLbls>
        <c:gapWidth val="150"/>
        <c:shape val="box"/>
        <c:axId val="2045950783"/>
        <c:axId val="1916205039"/>
        <c:axId val="0"/>
      </c:bar3DChart>
      <c:catAx>
        <c:axId val="2045950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205039"/>
        <c:crosses val="autoZero"/>
        <c:auto val="1"/>
        <c:lblAlgn val="ctr"/>
        <c:lblOffset val="100"/>
        <c:noMultiLvlLbl val="0"/>
      </c:catAx>
      <c:valAx>
        <c:axId val="1916205039"/>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crossAx val="20459507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2">
          <a:satMod val="175000"/>
          <a:alpha val="40000"/>
        </a:schemeClr>
      </a:glow>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Expense Report.xlsx]Report!PivotTable3</c:name>
    <c:fmtId val="30"/>
  </c:pivotSource>
  <c:chart>
    <c:title>
      <c:tx>
        <c:rich>
          <a:bodyPr rot="0" spcFirstLastPara="1" vertOverflow="ellipsis" vert="horz" wrap="square" anchor="ctr" anchorCtr="1"/>
          <a:lstStyle/>
          <a:p>
            <a:pPr>
              <a:defRPr lang="en-US" sz="1800" b="0" i="0" u="none" strike="noStrike" kern="1200" cap="all" spc="50" baseline="0">
                <a:solidFill>
                  <a:schemeClr val="dk1"/>
                </a:solidFill>
                <a:latin typeface="Segoe UI Semibold" panose="020B0702040204020203" pitchFamily="34" charset="0"/>
                <a:ea typeface="+mn-ea"/>
                <a:cs typeface="Segoe UI Semibold" panose="020B0702040204020203" pitchFamily="34" charset="0"/>
              </a:defRPr>
            </a:pPr>
            <a:r>
              <a:rPr lang="en-IN" sz="1800">
                <a:latin typeface="Segoe UI Semibold" panose="020B0702040204020203" pitchFamily="34" charset="0"/>
                <a:cs typeface="Segoe UI Semibold" panose="020B0702040204020203" pitchFamily="34" charset="0"/>
              </a:rPr>
              <a:t>MONTHLY PF &amp; ASI </a:t>
            </a:r>
          </a:p>
        </c:rich>
      </c:tx>
      <c:overlay val="0"/>
      <c:spPr>
        <a:noFill/>
        <a:ln>
          <a:noFill/>
        </a:ln>
        <a:effectLst/>
      </c:spPr>
      <c:txPr>
        <a:bodyPr rot="0" spcFirstLastPara="1" vertOverflow="ellipsis" vert="horz" wrap="square" anchor="ctr" anchorCtr="1"/>
        <a:lstStyle/>
        <a:p>
          <a:pPr>
            <a:defRPr lang="en-US" sz="1800" b="0" i="0" u="none" strike="noStrike" kern="1200" cap="all" spc="50" baseline="0">
              <a:solidFill>
                <a:schemeClr val="dk1"/>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gradFill flip="none" rotWithShape="1">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100000">
                <a:schemeClr val="accent2">
                  <a:alpha val="0"/>
                </a:schemeClr>
              </a:gs>
              <a:gs pos="50000">
                <a:schemeClr val="accent2"/>
              </a:gs>
            </a:gsLst>
            <a:lin ang="5400000" scaled="0"/>
          </a:gradFill>
          <a:ln>
            <a:noFill/>
          </a:ln>
          <a:effectLst/>
          <a:sp3d/>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flip="none" rotWithShape="1">
            <a:gsLst>
              <a:gs pos="100000">
                <a:schemeClr val="accent2">
                  <a:alpha val="0"/>
                </a:schemeClr>
              </a:gs>
              <a:gs pos="50000">
                <a:schemeClr val="accent2"/>
              </a:gs>
            </a:gsLst>
            <a:lin ang="5400000" scaled="0"/>
          </a:gradFill>
          <a:ln>
            <a:noFill/>
          </a:ln>
          <a:effectLst/>
          <a:sp3d/>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a:gsLst>
              <a:gs pos="100000">
                <a:schemeClr val="accent2">
                  <a:alpha val="0"/>
                </a:schemeClr>
              </a:gs>
              <a:gs pos="50000">
                <a:schemeClr val="accent2"/>
              </a:gs>
            </a:gsLst>
            <a:lin ang="5400000" scaled="0"/>
          </a:gradFill>
          <a:ln>
            <a:noFill/>
          </a:ln>
          <a:effectLst/>
          <a:sp3d/>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100000">
                <a:schemeClr val="accent2">
                  <a:alpha val="0"/>
                </a:schemeClr>
              </a:gs>
              <a:gs pos="50000">
                <a:schemeClr val="accent2"/>
              </a:gs>
            </a:gsLst>
            <a:lin ang="5400000" scaled="0"/>
          </a:gradFill>
          <a:ln>
            <a:noFill/>
          </a:ln>
          <a:effectLst/>
          <a:sp3d/>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Report!$C$21</c:f>
              <c:strCache>
                <c:ptCount val="1"/>
                <c:pt idx="0">
                  <c:v>Total PF</c:v>
                </c:pt>
              </c:strCache>
            </c:strRef>
          </c:tx>
          <c:spPr>
            <a:gradFill>
              <a:gsLst>
                <a:gs pos="100000">
                  <a:schemeClr val="accent2">
                    <a:alpha val="0"/>
                  </a:schemeClr>
                </a:gs>
                <a:gs pos="50000">
                  <a:schemeClr val="accent2"/>
                </a:gs>
              </a:gsLst>
              <a:lin ang="5400000" scaled="0"/>
            </a:gradFill>
            <a:ln>
              <a:noFill/>
            </a:ln>
            <a:effectLst/>
            <a:sp3d/>
          </c:spPr>
          <c:invertIfNegative val="0"/>
          <c:dLbls>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Report!$B$22:$B$25</c:f>
              <c:strCache>
                <c:ptCount val="3"/>
                <c:pt idx="0">
                  <c:v>Jan</c:v>
                </c:pt>
                <c:pt idx="1">
                  <c:v>Feb</c:v>
                </c:pt>
                <c:pt idx="2">
                  <c:v>Dec</c:v>
                </c:pt>
              </c:strCache>
            </c:strRef>
          </c:cat>
          <c:val>
            <c:numRef>
              <c:f>Report!$C$22:$C$25</c:f>
              <c:numCache>
                <c:formatCode>"₹"\ #,##0</c:formatCode>
                <c:ptCount val="3"/>
                <c:pt idx="0">
                  <c:v>58674</c:v>
                </c:pt>
                <c:pt idx="1">
                  <c:v>59656.333333333328</c:v>
                </c:pt>
                <c:pt idx="2">
                  <c:v>58676.333333333328</c:v>
                </c:pt>
              </c:numCache>
            </c:numRef>
          </c:val>
          <c:extLst>
            <c:ext xmlns:c16="http://schemas.microsoft.com/office/drawing/2014/chart" uri="{C3380CC4-5D6E-409C-BE32-E72D297353CC}">
              <c16:uniqueId val="{00000000-34E7-407F-9CAC-6F771DC55159}"/>
            </c:ext>
          </c:extLst>
        </c:ser>
        <c:ser>
          <c:idx val="1"/>
          <c:order val="1"/>
          <c:tx>
            <c:strRef>
              <c:f>Report!$D$21</c:f>
              <c:strCache>
                <c:ptCount val="1"/>
                <c:pt idx="0">
                  <c:v>Total ESI</c:v>
                </c:pt>
              </c:strCache>
            </c:strRef>
          </c:tx>
          <c:spPr>
            <a:gradFill>
              <a:gsLst>
                <a:gs pos="100000">
                  <a:schemeClr val="accent4">
                    <a:alpha val="0"/>
                  </a:schemeClr>
                </a:gs>
                <a:gs pos="50000">
                  <a:schemeClr val="accent4"/>
                </a:gs>
              </a:gsLst>
              <a:lin ang="5400000" scaled="0"/>
            </a:gradFill>
            <a:ln>
              <a:noFill/>
            </a:ln>
            <a:effectLst/>
            <a:sp3d/>
          </c:spPr>
          <c:invertIfNegative val="0"/>
          <c:dLbls>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Report!$B$22:$B$25</c:f>
              <c:strCache>
                <c:ptCount val="3"/>
                <c:pt idx="0">
                  <c:v>Jan</c:v>
                </c:pt>
                <c:pt idx="1">
                  <c:v>Feb</c:v>
                </c:pt>
                <c:pt idx="2">
                  <c:v>Dec</c:v>
                </c:pt>
              </c:strCache>
            </c:strRef>
          </c:cat>
          <c:val>
            <c:numRef>
              <c:f>Report!$D$22:$D$25</c:f>
              <c:numCache>
                <c:formatCode>"₹"\ #,##0</c:formatCode>
                <c:ptCount val="3"/>
                <c:pt idx="0">
                  <c:v>5164.2106249999997</c:v>
                </c:pt>
                <c:pt idx="1">
                  <c:v>5248.9368750000003</c:v>
                </c:pt>
                <c:pt idx="2">
                  <c:v>5164.4118749999998</c:v>
                </c:pt>
              </c:numCache>
            </c:numRef>
          </c:val>
          <c:extLst>
            <c:ext xmlns:c16="http://schemas.microsoft.com/office/drawing/2014/chart" uri="{C3380CC4-5D6E-409C-BE32-E72D297353CC}">
              <c16:uniqueId val="{00000001-34E7-407F-9CAC-6F771DC55159}"/>
            </c:ext>
          </c:extLst>
        </c:ser>
        <c:dLbls>
          <c:showLegendKey val="0"/>
          <c:showVal val="0"/>
          <c:showCatName val="0"/>
          <c:showSerName val="0"/>
          <c:showPercent val="0"/>
          <c:showBubbleSize val="0"/>
        </c:dLbls>
        <c:gapWidth val="150"/>
        <c:gapDepth val="0"/>
        <c:shape val="box"/>
        <c:axId val="949587856"/>
        <c:axId val="125584"/>
        <c:axId val="0"/>
      </c:bar3DChart>
      <c:catAx>
        <c:axId val="949587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25584"/>
        <c:crosses val="autoZero"/>
        <c:auto val="1"/>
        <c:lblAlgn val="ctr"/>
        <c:lblOffset val="100"/>
        <c:noMultiLvlLbl val="0"/>
      </c:catAx>
      <c:valAx>
        <c:axId val="125584"/>
        <c:scaling>
          <c:orientation val="minMax"/>
        </c:scaling>
        <c:delete val="1"/>
        <c:axPos val="l"/>
        <c:majorGridlines>
          <c:spPr>
            <a:ln w="9525" cap="flat" cmpd="sng" algn="ctr">
              <a:solidFill>
                <a:schemeClr val="tx1">
                  <a:lumMod val="5000"/>
                  <a:lumOff val="95000"/>
                </a:schemeClr>
              </a:solidFill>
              <a:round/>
            </a:ln>
            <a:effectLst/>
          </c:spPr>
        </c:majorGridlines>
        <c:numFmt formatCode="&quot;₹&quot;\ #,##0" sourceLinked="1"/>
        <c:majorTickMark val="none"/>
        <c:minorTickMark val="none"/>
        <c:tickLblPos val="nextTo"/>
        <c:crossAx val="949587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2">
          <a:satMod val="175000"/>
          <a:alpha val="40000"/>
        </a:schemeClr>
      </a:glow>
      <a:outerShdw blurRad="50800" dist="38100" dir="13500000" algn="br" rotWithShape="0">
        <a:prstClr val="black">
          <a:alpha val="40000"/>
        </a:prst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Expense Report.xlsx]Report!PivotTable4</c:name>
    <c:fmtId val="45"/>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2000">
                <a:latin typeface="Segoe UI Semibold" panose="020B0702040204020203" pitchFamily="34" charset="0"/>
                <a:cs typeface="Segoe UI Semibold" panose="020B0702040204020203" pitchFamily="34" charset="0"/>
              </a:rPr>
              <a:t>Department</a:t>
            </a:r>
            <a:r>
              <a:rPr lang="en-US" sz="2000" baseline="0">
                <a:latin typeface="Segoe UI Semibold" panose="020B0702040204020203" pitchFamily="34" charset="0"/>
                <a:cs typeface="Segoe UI Semibold" panose="020B0702040204020203" pitchFamily="34" charset="0"/>
              </a:rPr>
              <a:t> Wise Gross Salary</a:t>
            </a:r>
            <a:endParaRPr lang="en-US" sz="2000">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C000">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0981057507897111"/>
          <c:y val="0.12666934429241822"/>
          <c:w val="0.40130496248871839"/>
          <c:h val="0.87333065570758184"/>
        </c:manualLayout>
      </c:layout>
      <c:doughnutChart>
        <c:varyColors val="1"/>
        <c:ser>
          <c:idx val="0"/>
          <c:order val="0"/>
          <c:tx>
            <c:strRef>
              <c:f>Report!$C$30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85-4A1C-A62E-1D74537695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85-4A1C-A62E-1D74537695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85-4A1C-A62E-1D74537695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485-4A1C-A62E-1D7453769575}"/>
              </c:ext>
            </c:extLst>
          </c:dPt>
          <c:dLbls>
            <c:spPr>
              <a:solidFill>
                <a:srgbClr val="FFC000">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Report!$B$31:$B$35</c:f>
              <c:strCache>
                <c:ptCount val="4"/>
                <c:pt idx="0">
                  <c:v>Accounts</c:v>
                </c:pt>
                <c:pt idx="1">
                  <c:v>HR</c:v>
                </c:pt>
                <c:pt idx="2">
                  <c:v>IT</c:v>
                </c:pt>
                <c:pt idx="3">
                  <c:v>Sales</c:v>
                </c:pt>
              </c:strCache>
            </c:strRef>
          </c:cat>
          <c:val>
            <c:numRef>
              <c:f>Report!$C$31:$C$35</c:f>
              <c:numCache>
                <c:formatCode>"₹"\ #,##0</c:formatCode>
                <c:ptCount val="4"/>
                <c:pt idx="0">
                  <c:v>91420</c:v>
                </c:pt>
                <c:pt idx="1">
                  <c:v>193011</c:v>
                </c:pt>
                <c:pt idx="2">
                  <c:v>921488.16666666651</c:v>
                </c:pt>
                <c:pt idx="3">
                  <c:v>871088.75</c:v>
                </c:pt>
              </c:numCache>
            </c:numRef>
          </c:val>
          <c:extLst>
            <c:ext xmlns:c16="http://schemas.microsoft.com/office/drawing/2014/chart" uri="{C3380CC4-5D6E-409C-BE32-E72D297353CC}">
              <c16:uniqueId val="{00000008-6485-4A1C-A62E-1D745376957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2">
          <a:satMod val="175000"/>
          <a:alpha val="40000"/>
        </a:scheme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[Hr Analytics Expense Report.xlsx]Report!PivotTable5</c:name>
    <c:fmtId val="5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a:latin typeface="Segoe UI Semibold" panose="020B0702040204020203" pitchFamily="34" charset="0"/>
                <a:cs typeface="Segoe UI Semibold" panose="020B0702040204020203" pitchFamily="34" charset="0"/>
              </a:rPr>
              <a:t>EMPLOYEE</a:t>
            </a:r>
            <a:r>
              <a:rPr lang="en-US" baseline="0">
                <a:latin typeface="Segoe UI Semibold" panose="020B0702040204020203" pitchFamily="34" charset="0"/>
                <a:cs typeface="Segoe UI Semibold" panose="020B0702040204020203" pitchFamily="34" charset="0"/>
              </a:rPr>
              <a:t> BY DEPT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dk1">
              <a:tint val="88500"/>
              <a:alpha val="74000"/>
            </a:schemeClr>
          </a:solidFill>
          <a:ln>
            <a:noFill/>
          </a:ln>
          <a:effectLst>
            <a:innerShdw blurRad="114300">
              <a:schemeClr val="dk1">
                <a:tint val="88500"/>
                <a:lumMod val="75000"/>
              </a:schemeClr>
            </a:innerShdw>
          </a:effectLst>
        </c:spPr>
        <c:marker>
          <c:symbol val="circle"/>
          <c:size val="6"/>
          <c:spPr>
            <a:solidFill>
              <a:schemeClr val="dk1">
                <a:tint val="885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tint val="88500"/>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alpha val="74000"/>
            </a:schemeClr>
          </a:solidFill>
          <a:ln>
            <a:noFill/>
          </a:ln>
          <a:effectLst>
            <a:innerShdw blurRad="114300">
              <a:schemeClr val="dk1">
                <a:tint val="88500"/>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tint val="88500"/>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alpha val="74000"/>
            </a:schemeClr>
          </a:solidFill>
          <a:ln>
            <a:noFill/>
          </a:ln>
          <a:effectLst>
            <a:innerShdw blurRad="114300">
              <a:schemeClr val="dk1">
                <a:tint val="88500"/>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tint val="88500"/>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Report!$C$41</c:f>
              <c:strCache>
                <c:ptCount val="1"/>
                <c:pt idx="0">
                  <c:v>Total</c:v>
                </c:pt>
              </c:strCache>
            </c:strRef>
          </c:tx>
          <c:spPr>
            <a:solidFill>
              <a:schemeClr val="dk1">
                <a:tint val="88500"/>
                <a:alpha val="74000"/>
              </a:schemeClr>
            </a:solidFill>
            <a:ln>
              <a:noFill/>
            </a:ln>
            <a:effectLst>
              <a:innerShdw blurRad="114300">
                <a:schemeClr val="dk1">
                  <a:tint val="885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tint val="885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Report!$B$42:$B$46</c:f>
              <c:strCache>
                <c:ptCount val="4"/>
                <c:pt idx="0">
                  <c:v>Accounts</c:v>
                </c:pt>
                <c:pt idx="1">
                  <c:v>HR</c:v>
                </c:pt>
                <c:pt idx="2">
                  <c:v>IT</c:v>
                </c:pt>
                <c:pt idx="3">
                  <c:v>Sales</c:v>
                </c:pt>
              </c:strCache>
            </c:strRef>
          </c:cat>
          <c:val>
            <c:numRef>
              <c:f>Report!$C$42:$C$46</c:f>
              <c:numCache>
                <c:formatCode>General</c:formatCode>
                <c:ptCount val="4"/>
                <c:pt idx="0">
                  <c:v>3</c:v>
                </c:pt>
                <c:pt idx="1">
                  <c:v>3</c:v>
                </c:pt>
                <c:pt idx="2">
                  <c:v>21</c:v>
                </c:pt>
                <c:pt idx="3">
                  <c:v>15</c:v>
                </c:pt>
              </c:numCache>
            </c:numRef>
          </c:val>
          <c:extLst>
            <c:ext xmlns:c16="http://schemas.microsoft.com/office/drawing/2014/chart" uri="{C3380CC4-5D6E-409C-BE32-E72D297353CC}">
              <c16:uniqueId val="{00000000-B476-4177-B23F-B4B4E9A0D6D7}"/>
            </c:ext>
          </c:extLst>
        </c:ser>
        <c:dLbls>
          <c:showLegendKey val="0"/>
          <c:showVal val="1"/>
          <c:showCatName val="0"/>
          <c:showSerName val="0"/>
          <c:showPercent val="0"/>
          <c:showBubbleSize val="0"/>
        </c:dLbls>
        <c:axId val="15290704"/>
        <c:axId val="989798384"/>
      </c:areaChart>
      <c:catAx>
        <c:axId val="15290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89798384"/>
        <c:crosses val="autoZero"/>
        <c:auto val="1"/>
        <c:lblAlgn val="ctr"/>
        <c:lblOffset val="100"/>
        <c:noMultiLvlLbl val="0"/>
      </c:catAx>
      <c:valAx>
        <c:axId val="98979838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2907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glow rad="101600">
        <a:schemeClr val="accent2">
          <a:satMod val="175000"/>
          <a:alpha val="40000"/>
        </a:scheme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Expense Report.xlsx]Report!PivotTable7</c:name>
    <c:fmtId val="5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a:latin typeface="Segoe UI Semibold" panose="020B0702040204020203" pitchFamily="34" charset="0"/>
                <a:cs typeface="Segoe UI Semibold" panose="020B0702040204020203" pitchFamily="34" charset="0"/>
              </a:rPr>
              <a:t>Employee</a:t>
            </a:r>
            <a:r>
              <a:rPr lang="en-US" baseline="0">
                <a:latin typeface="Segoe UI Semibold" panose="020B0702040204020203" pitchFamily="34" charset="0"/>
                <a:cs typeface="Segoe UI Semibold" panose="020B0702040204020203" pitchFamily="34" charset="0"/>
              </a:rPr>
              <a:t> by Position </a:t>
            </a:r>
            <a:endParaRPr lang="en-US">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2">
              <a:lumMod val="7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outerShdw blurRad="57150" dist="19050" dir="5400000" algn="ctr" rotWithShape="0">
              <a:srgbClr val="000000">
                <a:alpha val="63000"/>
              </a:srgbClr>
            </a:outerShdw>
          </a:effectLst>
        </c:spPr>
      </c:pivotFmt>
      <c:pivotFmt>
        <c:idx val="2"/>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Report!$H$44</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Report!$G$45:$G$54</c:f>
              <c:strCache>
                <c:ptCount val="9"/>
                <c:pt idx="0">
                  <c:v>Customer Support</c:v>
                </c:pt>
                <c:pt idx="1">
                  <c:v>Account Manager</c:v>
                </c:pt>
                <c:pt idx="2">
                  <c:v>Accountant</c:v>
                </c:pt>
                <c:pt idx="3">
                  <c:v>Data Executive</c:v>
                </c:pt>
                <c:pt idx="4">
                  <c:v>Manager</c:v>
                </c:pt>
                <c:pt idx="5">
                  <c:v>Hr Executive</c:v>
                </c:pt>
                <c:pt idx="6">
                  <c:v>Data Analyst</c:v>
                </c:pt>
                <c:pt idx="7">
                  <c:v>Developer</c:v>
                </c:pt>
                <c:pt idx="8">
                  <c:v>Cunsultant</c:v>
                </c:pt>
              </c:strCache>
            </c:strRef>
          </c:cat>
          <c:val>
            <c:numRef>
              <c:f>Report!$H$45:$H$54</c:f>
              <c:numCache>
                <c:formatCode>General</c:formatCode>
                <c:ptCount val="9"/>
                <c:pt idx="0">
                  <c:v>3</c:v>
                </c:pt>
                <c:pt idx="1">
                  <c:v>3</c:v>
                </c:pt>
                <c:pt idx="2">
                  <c:v>3</c:v>
                </c:pt>
                <c:pt idx="3">
                  <c:v>3</c:v>
                </c:pt>
                <c:pt idx="4">
                  <c:v>3</c:v>
                </c:pt>
                <c:pt idx="5">
                  <c:v>3</c:v>
                </c:pt>
                <c:pt idx="6">
                  <c:v>6</c:v>
                </c:pt>
                <c:pt idx="7">
                  <c:v>6</c:v>
                </c:pt>
                <c:pt idx="8">
                  <c:v>12</c:v>
                </c:pt>
              </c:numCache>
            </c:numRef>
          </c:val>
          <c:extLst>
            <c:ext xmlns:c16="http://schemas.microsoft.com/office/drawing/2014/chart" uri="{C3380CC4-5D6E-409C-BE32-E72D297353CC}">
              <c16:uniqueId val="{00000000-36AF-46CE-9E79-FA1E426CFE4C}"/>
            </c:ext>
          </c:extLst>
        </c:ser>
        <c:dLbls>
          <c:dLblPos val="outEnd"/>
          <c:showLegendKey val="0"/>
          <c:showVal val="1"/>
          <c:showCatName val="0"/>
          <c:showSerName val="0"/>
          <c:showPercent val="0"/>
          <c:showBubbleSize val="0"/>
        </c:dLbls>
        <c:gapWidth val="102"/>
        <c:overlap val="-20"/>
        <c:axId val="1025047584"/>
        <c:axId val="989785904"/>
      </c:barChart>
      <c:catAx>
        <c:axId val="102504758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785904"/>
        <c:crosses val="autoZero"/>
        <c:auto val="1"/>
        <c:lblAlgn val="ctr"/>
        <c:lblOffset val="100"/>
        <c:noMultiLvlLbl val="0"/>
      </c:catAx>
      <c:valAx>
        <c:axId val="989785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04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2">
          <a:satMod val="175000"/>
          <a:alpha val="40000"/>
        </a:scheme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emf"/><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533400</xdr:colOff>
      <xdr:row>0</xdr:row>
      <xdr:rowOff>42862</xdr:rowOff>
    </xdr:from>
    <xdr:to>
      <xdr:col>12</xdr:col>
      <xdr:colOff>228600</xdr:colOff>
      <xdr:row>14</xdr:row>
      <xdr:rowOff>119062</xdr:rowOff>
    </xdr:to>
    <xdr:graphicFrame macro="">
      <xdr:nvGraphicFramePr>
        <xdr:cNvPr id="2" name="Chart 1">
          <a:extLst>
            <a:ext uri="{FF2B5EF4-FFF2-40B4-BE49-F238E27FC236}">
              <a16:creationId xmlns:a16="http://schemas.microsoft.com/office/drawing/2014/main" id="{370BE59E-A6CB-0C3A-2F5A-9BBFF3DFA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600577</xdr:colOff>
      <xdr:row>0</xdr:row>
      <xdr:rowOff>151397</xdr:rowOff>
    </xdr:from>
    <xdr:to>
      <xdr:col>22</xdr:col>
      <xdr:colOff>476249</xdr:colOff>
      <xdr:row>15</xdr:row>
      <xdr:rowOff>25065</xdr:rowOff>
    </xdr:to>
    <xdr:graphicFrame macro="">
      <xdr:nvGraphicFramePr>
        <xdr:cNvPr id="3" name="Chart 2">
          <a:extLst>
            <a:ext uri="{FF2B5EF4-FFF2-40B4-BE49-F238E27FC236}">
              <a16:creationId xmlns:a16="http://schemas.microsoft.com/office/drawing/2014/main" id="{1B53D426-122F-717D-1D1E-B614E9463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495300</xdr:colOff>
      <xdr:row>15</xdr:row>
      <xdr:rowOff>133349</xdr:rowOff>
    </xdr:from>
    <xdr:to>
      <xdr:col>12</xdr:col>
      <xdr:colOff>350921</xdr:colOff>
      <xdr:row>28</xdr:row>
      <xdr:rowOff>50131</xdr:rowOff>
    </xdr:to>
    <xdr:graphicFrame macro="">
      <xdr:nvGraphicFramePr>
        <xdr:cNvPr id="4" name="Chart 3">
          <a:extLst>
            <a:ext uri="{FF2B5EF4-FFF2-40B4-BE49-F238E27FC236}">
              <a16:creationId xmlns:a16="http://schemas.microsoft.com/office/drawing/2014/main" id="{2F10E963-B1DF-0CA9-4E00-08BD45A13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123826</xdr:colOff>
      <xdr:row>16</xdr:row>
      <xdr:rowOff>59656</xdr:rowOff>
    </xdr:from>
    <xdr:to>
      <xdr:col>22</xdr:col>
      <xdr:colOff>426118</xdr:colOff>
      <xdr:row>28</xdr:row>
      <xdr:rowOff>175460</xdr:rowOff>
    </xdr:to>
    <xdr:graphicFrame macro="">
      <xdr:nvGraphicFramePr>
        <xdr:cNvPr id="5" name="Chart 4">
          <a:extLst>
            <a:ext uri="{FF2B5EF4-FFF2-40B4-BE49-F238E27FC236}">
              <a16:creationId xmlns:a16="http://schemas.microsoft.com/office/drawing/2014/main" id="{8D22C8E1-3D5E-1960-A6A0-A14ECA58B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194008</xdr:colOff>
      <xdr:row>0</xdr:row>
      <xdr:rowOff>122821</xdr:rowOff>
    </xdr:from>
    <xdr:to>
      <xdr:col>32</xdr:col>
      <xdr:colOff>175461</xdr:colOff>
      <xdr:row>14</xdr:row>
      <xdr:rowOff>175460</xdr:rowOff>
    </xdr:to>
    <xdr:graphicFrame macro="">
      <xdr:nvGraphicFramePr>
        <xdr:cNvPr id="6" name="Chart 5">
          <a:extLst>
            <a:ext uri="{FF2B5EF4-FFF2-40B4-BE49-F238E27FC236}">
              <a16:creationId xmlns:a16="http://schemas.microsoft.com/office/drawing/2014/main" id="{72A22237-F750-02CD-6596-BC93E5B29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284246</xdr:colOff>
      <xdr:row>15</xdr:row>
      <xdr:rowOff>187241</xdr:rowOff>
    </xdr:from>
    <xdr:to>
      <xdr:col>32</xdr:col>
      <xdr:colOff>200526</xdr:colOff>
      <xdr:row>28</xdr:row>
      <xdr:rowOff>125329</xdr:rowOff>
    </xdr:to>
    <xdr:graphicFrame macro="">
      <xdr:nvGraphicFramePr>
        <xdr:cNvPr id="7" name="Chart 6">
          <a:extLst>
            <a:ext uri="{FF2B5EF4-FFF2-40B4-BE49-F238E27FC236}">
              <a16:creationId xmlns:a16="http://schemas.microsoft.com/office/drawing/2014/main" id="{EF120140-26F8-805C-B131-FE1EAFBD8F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204409</xdr:colOff>
      <xdr:row>6</xdr:row>
      <xdr:rowOff>166310</xdr:rowOff>
    </xdr:from>
    <xdr:to>
      <xdr:col>13</xdr:col>
      <xdr:colOff>504196</xdr:colOff>
      <xdr:row>21</xdr:row>
      <xdr:rowOff>192379</xdr:rowOff>
    </xdr:to>
    <xdr:graphicFrame macro="">
      <xdr:nvGraphicFramePr>
        <xdr:cNvPr id="2" name="Chart 1">
          <a:extLst>
            <a:ext uri="{FF2B5EF4-FFF2-40B4-BE49-F238E27FC236}">
              <a16:creationId xmlns:a16="http://schemas.microsoft.com/office/drawing/2014/main" id="{75523863-4AEF-4309-84E9-018B74602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737932</xdr:colOff>
      <xdr:row>7</xdr:row>
      <xdr:rowOff>74705</xdr:rowOff>
    </xdr:from>
    <xdr:to>
      <xdr:col>21</xdr:col>
      <xdr:colOff>205442</xdr:colOff>
      <xdr:row>22</xdr:row>
      <xdr:rowOff>11646</xdr:rowOff>
    </xdr:to>
    <xdr:graphicFrame macro="">
      <xdr:nvGraphicFramePr>
        <xdr:cNvPr id="3" name="Chart 2">
          <a:extLst>
            <a:ext uri="{FF2B5EF4-FFF2-40B4-BE49-F238E27FC236}">
              <a16:creationId xmlns:a16="http://schemas.microsoft.com/office/drawing/2014/main" id="{7351DE72-BE73-4907-B480-AB9AEE1D5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196547</xdr:colOff>
      <xdr:row>22</xdr:row>
      <xdr:rowOff>112059</xdr:rowOff>
    </xdr:from>
    <xdr:to>
      <xdr:col>13</xdr:col>
      <xdr:colOff>597647</xdr:colOff>
      <xdr:row>36</xdr:row>
      <xdr:rowOff>6792</xdr:rowOff>
    </xdr:to>
    <xdr:graphicFrame macro="">
      <xdr:nvGraphicFramePr>
        <xdr:cNvPr id="4" name="Chart 3">
          <a:extLst>
            <a:ext uri="{FF2B5EF4-FFF2-40B4-BE49-F238E27FC236}">
              <a16:creationId xmlns:a16="http://schemas.microsoft.com/office/drawing/2014/main" id="{93DEE1F6-D435-4B91-8DE8-D46194E3C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743584</xdr:colOff>
      <xdr:row>22</xdr:row>
      <xdr:rowOff>184330</xdr:rowOff>
    </xdr:from>
    <xdr:to>
      <xdr:col>21</xdr:col>
      <xdr:colOff>282658</xdr:colOff>
      <xdr:row>36</xdr:row>
      <xdr:rowOff>39451</xdr:rowOff>
    </xdr:to>
    <xdr:graphicFrame macro="">
      <xdr:nvGraphicFramePr>
        <xdr:cNvPr id="5" name="Chart 4">
          <a:extLst>
            <a:ext uri="{FF2B5EF4-FFF2-40B4-BE49-F238E27FC236}">
              <a16:creationId xmlns:a16="http://schemas.microsoft.com/office/drawing/2014/main" id="{F1AC2392-53F8-4B34-9B4D-41FD811BA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497879</xdr:colOff>
      <xdr:row>7</xdr:row>
      <xdr:rowOff>24819</xdr:rowOff>
    </xdr:from>
    <xdr:to>
      <xdr:col>30</xdr:col>
      <xdr:colOff>407141</xdr:colOff>
      <xdr:row>22</xdr:row>
      <xdr:rowOff>27327</xdr:rowOff>
    </xdr:to>
    <xdr:graphicFrame macro="">
      <xdr:nvGraphicFramePr>
        <xdr:cNvPr id="6" name="Chart 5">
          <a:extLst>
            <a:ext uri="{FF2B5EF4-FFF2-40B4-BE49-F238E27FC236}">
              <a16:creationId xmlns:a16="http://schemas.microsoft.com/office/drawing/2014/main" id="{DCFFB8BA-6F90-4E0A-9DA1-E89570C8E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494734</xdr:colOff>
      <xdr:row>22</xdr:row>
      <xdr:rowOff>161193</xdr:rowOff>
    </xdr:from>
    <xdr:to>
      <xdr:col>30</xdr:col>
      <xdr:colOff>338823</xdr:colOff>
      <xdr:row>36</xdr:row>
      <xdr:rowOff>33076</xdr:rowOff>
    </xdr:to>
    <xdr:graphicFrame macro="">
      <xdr:nvGraphicFramePr>
        <xdr:cNvPr id="7" name="Chart 6">
          <a:extLst>
            <a:ext uri="{FF2B5EF4-FFF2-40B4-BE49-F238E27FC236}">
              <a16:creationId xmlns:a16="http://schemas.microsoft.com/office/drawing/2014/main" id="{6BD449D8-E677-44C6-AC99-F836634DF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6</xdr:row>
      <xdr:rowOff>75595</xdr:rowOff>
    </xdr:from>
    <xdr:to>
      <xdr:col>4</xdr:col>
      <xdr:colOff>45357</xdr:colOff>
      <xdr:row>14</xdr:row>
      <xdr:rowOff>105833</xdr:rowOff>
    </xdr:to>
    <xdr:sp macro="" textlink="">
      <xdr:nvSpPr>
        <xdr:cNvPr id="12" name="Rectangle: Rounded Corners 11">
          <a:extLst>
            <a:ext uri="{FF2B5EF4-FFF2-40B4-BE49-F238E27FC236}">
              <a16:creationId xmlns:a16="http://schemas.microsoft.com/office/drawing/2014/main" id="{406B0491-80A2-E4FC-129F-26CB88242D9D}"/>
            </a:ext>
          </a:extLst>
        </xdr:cNvPr>
        <xdr:cNvSpPr/>
      </xdr:nvSpPr>
      <xdr:spPr>
        <a:xfrm>
          <a:off x="0" y="1254881"/>
          <a:ext cx="2464405" cy="1602619"/>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181429</xdr:colOff>
      <xdr:row>7</xdr:row>
      <xdr:rowOff>30238</xdr:rowOff>
    </xdr:from>
    <xdr:to>
      <xdr:col>3</xdr:col>
      <xdr:colOff>438452</xdr:colOff>
      <xdr:row>13</xdr:row>
      <xdr:rowOff>120952</xdr:rowOff>
    </xdr:to>
    <mc:AlternateContent xmlns:mc="http://schemas.openxmlformats.org/markup-compatibility/2006" xmlns:a14="http://schemas.microsoft.com/office/drawing/2010/main">
      <mc:Choice Requires="a14">
        <xdr:graphicFrame macro="">
          <xdr:nvGraphicFramePr>
            <xdr:cNvPr id="11" name="Years (Salary_Date)">
              <a:extLst>
                <a:ext uri="{FF2B5EF4-FFF2-40B4-BE49-F238E27FC236}">
                  <a16:creationId xmlns:a16="http://schemas.microsoft.com/office/drawing/2014/main" id="{AB1D191F-7A60-4D4D-9142-8766BC2434ED}"/>
                </a:ext>
              </a:extLst>
            </xdr:cNvPr>
            <xdr:cNvGraphicFramePr/>
          </xdr:nvGraphicFramePr>
          <xdr:xfrm>
            <a:off x="0" y="0"/>
            <a:ext cx="0" cy="0"/>
          </xdr:xfrm>
          <a:graphic>
            <a:graphicData uri="http://schemas.microsoft.com/office/drawing/2010/slicer">
              <sle:slicer xmlns:sle="http://schemas.microsoft.com/office/drawing/2010/slicer" name="Years (Salary_Date)"/>
            </a:graphicData>
          </a:graphic>
        </xdr:graphicFrame>
      </mc:Choice>
      <mc:Fallback xmlns="">
        <xdr:sp macro="" textlink="">
          <xdr:nvSpPr>
            <xdr:cNvPr id="0" name=""/>
            <xdr:cNvSpPr>
              <a:spLocks noTextEdit="1"/>
            </xdr:cNvSpPr>
          </xdr:nvSpPr>
          <xdr:spPr>
            <a:xfrm>
              <a:off x="181429" y="1406071"/>
              <a:ext cx="2071309"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12095</xdr:rowOff>
    </xdr:from>
    <xdr:to>
      <xdr:col>10</xdr:col>
      <xdr:colOff>191255</xdr:colOff>
      <xdr:row>5</xdr:row>
      <xdr:rowOff>111125</xdr:rowOff>
    </xdr:to>
    <xdr:grpSp>
      <xdr:nvGrpSpPr>
        <xdr:cNvPr id="19" name="Group 18">
          <a:extLst>
            <a:ext uri="{FF2B5EF4-FFF2-40B4-BE49-F238E27FC236}">
              <a16:creationId xmlns:a16="http://schemas.microsoft.com/office/drawing/2014/main" id="{CD99675E-B042-D83A-A8E9-222C48D21DDB}"/>
            </a:ext>
          </a:extLst>
        </xdr:cNvPr>
        <xdr:cNvGrpSpPr/>
      </xdr:nvGrpSpPr>
      <xdr:grpSpPr>
        <a:xfrm>
          <a:off x="0" y="209784"/>
          <a:ext cx="6301632" cy="1105445"/>
          <a:chOff x="15120" y="75595"/>
          <a:chExt cx="6168570" cy="1028095"/>
        </a:xfrm>
      </xdr:grpSpPr>
      <xdr:sp macro="" textlink="">
        <xdr:nvSpPr>
          <xdr:cNvPr id="15" name="Rectangle: Rounded Corners 14">
            <a:extLst>
              <a:ext uri="{FF2B5EF4-FFF2-40B4-BE49-F238E27FC236}">
                <a16:creationId xmlns:a16="http://schemas.microsoft.com/office/drawing/2014/main" id="{C140F1B2-2A20-412F-86C6-061C9DB022E4}"/>
              </a:ext>
            </a:extLst>
          </xdr:cNvPr>
          <xdr:cNvSpPr/>
        </xdr:nvSpPr>
        <xdr:spPr>
          <a:xfrm>
            <a:off x="15120" y="75595"/>
            <a:ext cx="6168570" cy="1028095"/>
          </a:xfrm>
          <a:prstGeom prst="round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600">
              <a:solidFill>
                <a:schemeClr val="accent1"/>
              </a:solidFill>
              <a:latin typeface="Arial Black" panose="020B0A04020102020204" pitchFamily="34" charset="0"/>
            </a:endParaRPr>
          </a:p>
        </xdr:txBody>
      </xdr:sp>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3AD3C883-08C3-4F9B-97D8-19385025DF04}"/>
                  </a:ext>
                </a:extLst>
              </xdr:cNvPr>
              <xdr:cNvGraphicFramePr/>
            </xdr:nvGraphicFramePr>
            <xdr:xfrm>
              <a:off x="178761" y="265316"/>
              <a:ext cx="5884438" cy="69993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67171" y="413779"/>
                <a:ext cx="6011371" cy="752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0</xdr:colOff>
      <xdr:row>25</xdr:row>
      <xdr:rowOff>95756</xdr:rowOff>
    </xdr:from>
    <xdr:to>
      <xdr:col>4</xdr:col>
      <xdr:colOff>74386</xdr:colOff>
      <xdr:row>35</xdr:row>
      <xdr:rowOff>70557</xdr:rowOff>
    </xdr:to>
    <xdr:grpSp>
      <xdr:nvGrpSpPr>
        <xdr:cNvPr id="17" name="Group 16">
          <a:extLst>
            <a:ext uri="{FF2B5EF4-FFF2-40B4-BE49-F238E27FC236}">
              <a16:creationId xmlns:a16="http://schemas.microsoft.com/office/drawing/2014/main" id="{23823ED9-5A79-E84C-DC67-70A9E06D112F}"/>
            </a:ext>
          </a:extLst>
        </xdr:cNvPr>
        <xdr:cNvGrpSpPr/>
      </xdr:nvGrpSpPr>
      <xdr:grpSpPr>
        <a:xfrm>
          <a:off x="0" y="5253633"/>
          <a:ext cx="2518537" cy="1951688"/>
          <a:chOff x="17290" y="4860695"/>
          <a:chExt cx="2493434" cy="1451428"/>
        </a:xfrm>
      </xdr:grpSpPr>
      <xdr:sp macro="" textlink="">
        <xdr:nvSpPr>
          <xdr:cNvPr id="13" name="Rectangle: Rounded Corners 12">
            <a:extLst>
              <a:ext uri="{FF2B5EF4-FFF2-40B4-BE49-F238E27FC236}">
                <a16:creationId xmlns:a16="http://schemas.microsoft.com/office/drawing/2014/main" id="{149AD0C5-53AC-4783-905A-0318D55292B0}"/>
              </a:ext>
            </a:extLst>
          </xdr:cNvPr>
          <xdr:cNvSpPr/>
        </xdr:nvSpPr>
        <xdr:spPr>
          <a:xfrm>
            <a:off x="17290" y="4860695"/>
            <a:ext cx="2493434" cy="1451428"/>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10" name="Quarters (Salary_Date)">
                <a:extLst>
                  <a:ext uri="{FF2B5EF4-FFF2-40B4-BE49-F238E27FC236}">
                    <a16:creationId xmlns:a16="http://schemas.microsoft.com/office/drawing/2014/main" id="{5A958CEF-3949-4CE0-94FC-91B8C23AD42D}"/>
                  </a:ext>
                </a:extLst>
              </xdr:cNvPr>
              <xdr:cNvGraphicFramePr/>
            </xdr:nvGraphicFramePr>
            <xdr:xfrm>
              <a:off x="272217" y="4961913"/>
              <a:ext cx="2131786" cy="1231008"/>
            </xdr:xfrm>
            <a:graphic>
              <a:graphicData uri="http://schemas.microsoft.com/office/drawing/2010/slicer">
                <sle:slicer xmlns:sle="http://schemas.microsoft.com/office/drawing/2010/slicer" name="Quarters (Salary_Date)"/>
              </a:graphicData>
            </a:graphic>
          </xdr:graphicFrame>
        </mc:Choice>
        <mc:Fallback>
          <xdr:sp macro="" textlink="">
            <xdr:nvSpPr>
              <xdr:cNvPr id="0" name=""/>
              <xdr:cNvSpPr>
                <a:spLocks noTextEdit="1"/>
              </xdr:cNvSpPr>
            </xdr:nvSpPr>
            <xdr:spPr>
              <a:xfrm>
                <a:off x="257494" y="5389738"/>
                <a:ext cx="2153248" cy="16552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17639</xdr:colOff>
      <xdr:row>15</xdr:row>
      <xdr:rowOff>167520</xdr:rowOff>
    </xdr:from>
    <xdr:to>
      <xdr:col>4</xdr:col>
      <xdr:colOff>62996</xdr:colOff>
      <xdr:row>24</xdr:row>
      <xdr:rowOff>1211</xdr:rowOff>
    </xdr:to>
    <xdr:grpSp>
      <xdr:nvGrpSpPr>
        <xdr:cNvPr id="18" name="Group 17">
          <a:extLst>
            <a:ext uri="{FF2B5EF4-FFF2-40B4-BE49-F238E27FC236}">
              <a16:creationId xmlns:a16="http://schemas.microsoft.com/office/drawing/2014/main" id="{DC87BAC0-7778-4109-07BE-9023D9615874}"/>
            </a:ext>
          </a:extLst>
        </xdr:cNvPr>
        <xdr:cNvGrpSpPr/>
      </xdr:nvGrpSpPr>
      <xdr:grpSpPr>
        <a:xfrm>
          <a:off x="17639" y="3348511"/>
          <a:ext cx="2489508" cy="1612889"/>
          <a:chOff x="0" y="2919187"/>
          <a:chExt cx="2464405" cy="1602619"/>
        </a:xfrm>
      </xdr:grpSpPr>
      <xdr:sp macro="" textlink="">
        <xdr:nvSpPr>
          <xdr:cNvPr id="16" name="Rectangle: Rounded Corners 15">
            <a:extLst>
              <a:ext uri="{FF2B5EF4-FFF2-40B4-BE49-F238E27FC236}">
                <a16:creationId xmlns:a16="http://schemas.microsoft.com/office/drawing/2014/main" id="{C65FCD04-A779-4BBA-A32A-D91F003B0826}"/>
              </a:ext>
            </a:extLst>
          </xdr:cNvPr>
          <xdr:cNvSpPr/>
        </xdr:nvSpPr>
        <xdr:spPr>
          <a:xfrm>
            <a:off x="0" y="2919187"/>
            <a:ext cx="2464405" cy="1602619"/>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9" name="Months (Salary_Date)">
                <a:extLst>
                  <a:ext uri="{FF2B5EF4-FFF2-40B4-BE49-F238E27FC236}">
                    <a16:creationId xmlns:a16="http://schemas.microsoft.com/office/drawing/2014/main" id="{1CDE4029-0752-4C9C-A433-908C0D2F86E2}"/>
                  </a:ext>
                </a:extLst>
              </xdr:cNvPr>
              <xdr:cNvGraphicFramePr/>
            </xdr:nvGraphicFramePr>
            <xdr:xfrm>
              <a:off x="178573" y="3117810"/>
              <a:ext cx="2074165" cy="1266714"/>
            </xdr:xfrm>
            <a:graphic>
              <a:graphicData uri="http://schemas.microsoft.com/office/drawing/2010/slicer">
                <sle:slicer xmlns:sle="http://schemas.microsoft.com/office/drawing/2010/slicer" name="Months (Salary_Date)"/>
              </a:graphicData>
            </a:graphic>
          </xdr:graphicFrame>
        </mc:Choice>
        <mc:Fallback>
          <xdr:sp macro="" textlink="">
            <xdr:nvSpPr>
              <xdr:cNvPr id="0" name=""/>
              <xdr:cNvSpPr>
                <a:spLocks noTextEdit="1"/>
              </xdr:cNvSpPr>
            </xdr:nvSpPr>
            <xdr:spPr>
              <a:xfrm>
                <a:off x="198031" y="3548407"/>
                <a:ext cx="2095293" cy="1274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13</xdr:col>
      <xdr:colOff>0</xdr:colOff>
      <xdr:row>2</xdr:row>
      <xdr:rowOff>0</xdr:rowOff>
    </xdr:from>
    <xdr:to>
      <xdr:col>14</xdr:col>
      <xdr:colOff>9525</xdr:colOff>
      <xdr:row>4</xdr:row>
      <xdr:rowOff>9525</xdr:rowOff>
    </xdr:to>
    <xdr:pic>
      <xdr:nvPicPr>
        <xdr:cNvPr id="25" name="Picture 24">
          <a:extLst>
            <a:ext uri="{FF2B5EF4-FFF2-40B4-BE49-F238E27FC236}">
              <a16:creationId xmlns:a16="http://schemas.microsoft.com/office/drawing/2014/main" id="{CB5F0DA2-7356-E955-41E7-F4E4F77BDA2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924800" y="381000"/>
          <a:ext cx="1924050"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6.462799421293" createdVersion="8" refreshedVersion="8" minRefreshableVersion="3" recordCount="42" xr:uid="{D32622D7-89AE-427D-B4E8-3173FAE5695D}">
  <cacheSource type="worksheet">
    <worksheetSource ref="A1:T43" sheet="Employee Data"/>
  </cacheSource>
  <cacheFields count="23">
    <cacheField name="ID No" numFmtId="0">
      <sharedItems containsSemiMixedTypes="0" containsString="0" containsNumber="1" containsInteger="1" minValue="1001" maxValue="1014"/>
    </cacheField>
    <cacheField name="Name" numFmtId="0">
      <sharedItems/>
    </cacheField>
    <cacheField name="Department" numFmtId="0">
      <sharedItems count="4">
        <s v="Sales"/>
        <s v="IT"/>
        <s v="HR"/>
        <s v="Accounts"/>
      </sharedItems>
    </cacheField>
    <cacheField name="Designation" numFmtId="0">
      <sharedItems count="9">
        <s v="Cunsultant"/>
        <s v="Manager"/>
        <s v="Accountant"/>
        <s v="Data Executive"/>
        <s v="Customer Support"/>
        <s v="Hr Executive"/>
        <s v="Data Analyst"/>
        <s v="Account Manager"/>
        <s v="Developer"/>
      </sharedItems>
    </cacheField>
    <cacheField name="Basic salary" numFmtId="164">
      <sharedItems containsSemiMixedTypes="0" containsString="0" containsNumber="1" minValue="20416.666666666664" maxValue="58333.333333333336"/>
    </cacheField>
    <cacheField name="Leaves taken" numFmtId="0">
      <sharedItems containsSemiMixedTypes="0" containsString="0" containsNumber="1" containsInteger="1" minValue="0" maxValue="3"/>
    </cacheField>
    <cacheField name="Attendence" numFmtId="0">
      <sharedItems containsSemiMixedTypes="0" containsString="0" containsNumber="1" containsInteger="1" minValue="27" maxValue="30"/>
    </cacheField>
    <cacheField name="Overtime Hrs" numFmtId="0">
      <sharedItems containsSemiMixedTypes="0" containsString="0" containsNumber="1" containsInteger="1" minValue="0" maxValue="29"/>
    </cacheField>
    <cacheField name="Basic Salary Earned" numFmtId="165">
      <sharedItems containsSemiMixedTypes="0" containsString="0" containsNumber="1" minValue="18374.999999999996" maxValue="58333.333333333336"/>
    </cacheField>
    <cacheField name="HRA" numFmtId="165">
      <sharedItems containsSemiMixedTypes="0" containsString="0" containsNumber="1" minValue="3675" maxValue="11666.666666666666"/>
    </cacheField>
    <cacheField name="D.A" numFmtId="165">
      <sharedItems containsSemiMixedTypes="0" containsString="0" containsNumber="1" minValue="1837.5" maxValue="5833.333333333333"/>
    </cacheField>
    <cacheField name="Travel" numFmtId="165">
      <sharedItems containsSemiMixedTypes="0" containsString="0" containsNumber="1" minValue="1469.9999999999998" maxValue="4666.666666666667"/>
    </cacheField>
    <cacheField name="OverTime Salary" numFmtId="165">
      <sharedItems containsSemiMixedTypes="0" containsString="0" containsNumber="1" minValue="0" maxValue="4229.166666666667"/>
    </cacheField>
    <cacheField name="Gross Salary" numFmtId="165">
      <sharedItems containsSemiMixedTypes="0" containsString="0" containsNumber="1" minValue="25697.777777777774" maxValue="81715.277777777781"/>
    </cacheField>
    <cacheField name="PF" numFmtId="165">
      <sharedItems containsSemiMixedTypes="0" containsString="0" containsNumber="1" minValue="2204.9999999999995" maxValue="7000"/>
    </cacheField>
    <cacheField name="ESI" numFmtId="165">
      <sharedItems containsSemiMixedTypes="0" containsString="0" containsNumber="1" minValue="192.73333333333329" maxValue="612.86458333333337"/>
    </cacheField>
    <cacheField name="TDS" numFmtId="165">
      <sharedItems containsSemiMixedTypes="0" containsString="0" containsNumber="1" minValue="330.375" maxValue="8808.3333333333339"/>
    </cacheField>
    <cacheField name="Net PAY" numFmtId="165">
      <sharedItems containsSemiMixedTypes="0" containsString="0" containsNumber="1" minValue="22969.66944444444" maxValue="65294.079861111109"/>
    </cacheField>
    <cacheField name="Salary_Date" numFmtId="14">
      <sharedItems containsSemiMixedTypes="0" containsNonDate="0" containsDate="1" containsString="0" minDate="2024-12-01T00:00:00" maxDate="2025-02-02T00:00:00" count="3">
        <d v="2025-01-01T00:00:00"/>
        <d v="2025-02-01T00:00:00"/>
        <d v="2024-12-01T00:00:00"/>
      </sharedItems>
      <fieldGroup par="22"/>
    </cacheField>
    <cacheField name="CTC" numFmtId="165">
      <sharedItems containsSemiMixedTypes="0" containsString="0" containsNumber="1" minValue="21103.10833333333" maxValue="74754.53125"/>
    </cacheField>
    <cacheField name="Months (Salary_Date)" numFmtId="0" databaseField="0">
      <fieldGroup base="18">
        <rangePr groupBy="months" startDate="2024-12-01T00:00:00" endDate="2025-02-02T00:00:00"/>
        <groupItems count="14">
          <s v="&lt;01-12-2024"/>
          <s v="Jan"/>
          <s v="Feb"/>
          <s v="Mar"/>
          <s v="Apr"/>
          <s v="May"/>
          <s v="Jun"/>
          <s v="Jul"/>
          <s v="Aug"/>
          <s v="Sep"/>
          <s v="Oct"/>
          <s v="Nov"/>
          <s v="Dec"/>
          <s v="&gt;02-02-2025"/>
        </groupItems>
      </fieldGroup>
    </cacheField>
    <cacheField name="Quarters (Salary_Date)" numFmtId="0" databaseField="0">
      <fieldGroup base="18">
        <rangePr groupBy="quarters" startDate="2024-12-01T00:00:00" endDate="2025-02-02T00:00:00"/>
        <groupItems count="6">
          <s v="&lt;01-12-2024"/>
          <s v="Qtr1"/>
          <s v="Qtr2"/>
          <s v="Qtr3"/>
          <s v="Qtr4"/>
          <s v="&gt;02-02-2025"/>
        </groupItems>
      </fieldGroup>
    </cacheField>
    <cacheField name="Years (Salary_Date)" numFmtId="0" databaseField="0">
      <fieldGroup base="18">
        <rangePr groupBy="years" startDate="2024-12-01T00:00:00" endDate="2025-02-02T00:00:00"/>
        <groupItems count="4">
          <s v="&lt;01-12-2024"/>
          <s v="2024"/>
          <s v="2025"/>
          <s v="&gt;02-02-2025"/>
        </groupItems>
      </fieldGroup>
    </cacheField>
  </cacheFields>
  <extLst>
    <ext xmlns:x14="http://schemas.microsoft.com/office/spreadsheetml/2009/9/main" uri="{725AE2AE-9491-48be-B2B4-4EB974FC3084}">
      <x14:pivotCacheDefinition pivotCacheId="3564213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n v="1001"/>
    <s v="ANUSHKA"/>
    <x v="0"/>
    <x v="0"/>
    <n v="35000"/>
    <n v="2"/>
    <n v="28"/>
    <n v="29"/>
    <n v="32666.666666666668"/>
    <n v="6533.3333333333339"/>
    <n v="3266.666666666667"/>
    <n v="2613.333333333333"/>
    <n v="4229.166666666667"/>
    <n v="49309.166666666664"/>
    <n v="3920"/>
    <n v="369.81874999999997"/>
    <n v="2210.4444444444443"/>
    <n v="42808.90347222222"/>
    <x v="0"/>
    <n v="39166.929861111115"/>
  </r>
  <r>
    <n v="1002"/>
    <s v="NEHA"/>
    <x v="1"/>
    <x v="1"/>
    <n v="40833.333333333328"/>
    <n v="2"/>
    <n v="28"/>
    <n v="1"/>
    <n v="38111.111111111102"/>
    <n v="7622.2222222222226"/>
    <n v="3811.1111111111113"/>
    <n v="3048.8888888888882"/>
    <n v="170.13888888888886"/>
    <n v="52763.472222222219"/>
    <n v="4573.3333333333321"/>
    <n v="395.72604166666662"/>
    <n v="3713.1111111111113"/>
    <n v="44081.301736111112"/>
    <x v="0"/>
    <n v="46793.281597222216"/>
  </r>
  <r>
    <n v="1003"/>
    <s v="DEEPALI"/>
    <x v="1"/>
    <x v="2"/>
    <n v="46666.666666666664"/>
    <n v="1"/>
    <n v="29"/>
    <n v="0"/>
    <n v="45111.111111111109"/>
    <n v="9022.2222222222226"/>
    <n v="4511.1111111111113"/>
    <n v="3608.8888888888887"/>
    <n v="0"/>
    <n v="62253.333333333328"/>
    <n v="5413.333333333333"/>
    <n v="466.89999999999992"/>
    <n v="5402.0555555555557"/>
    <n v="50971.044444444444"/>
    <x v="0"/>
    <n v="56393.4"/>
  </r>
  <r>
    <n v="1004"/>
    <s v="KHUSHBOO"/>
    <x v="0"/>
    <x v="0"/>
    <n v="52500"/>
    <n v="2"/>
    <n v="28"/>
    <n v="9"/>
    <n v="49000"/>
    <n v="9800"/>
    <n v="4900"/>
    <n v="3920"/>
    <n v="1968.75"/>
    <n v="69588.75"/>
    <n v="5880"/>
    <n v="521.91562499999998"/>
    <n v="6718.4444444444443"/>
    <n v="56468.389930555553"/>
    <x v="0"/>
    <n v="62120.360069444447"/>
  </r>
  <r>
    <n v="1005"/>
    <s v="SIDRA"/>
    <x v="0"/>
    <x v="0"/>
    <n v="23333.333333333332"/>
    <n v="2"/>
    <n v="28"/>
    <n v="3"/>
    <n v="21777.777777777777"/>
    <n v="4355.5555555555557"/>
    <n v="2177.7777777777778"/>
    <n v="1742.2222222222222"/>
    <n v="291.66666666666663"/>
    <n v="30345"/>
    <n v="2613.333333333333"/>
    <n v="227.58750000000001"/>
    <n v="530.44444444444446"/>
    <n v="26973.634722222221"/>
    <x v="0"/>
    <n v="25149.143055555556"/>
  </r>
  <r>
    <n v="1006"/>
    <s v="LAXMI"/>
    <x v="1"/>
    <x v="3"/>
    <n v="26833.333333333332"/>
    <n v="0"/>
    <n v="30"/>
    <n v="1"/>
    <n v="26833.333333333332"/>
    <n v="5366.666666666667"/>
    <n v="2683.3333333333335"/>
    <n v="2146.6666666666665"/>
    <n v="111.80555555555556"/>
    <n v="37141.805555555555"/>
    <n v="3219.9999999999995"/>
    <n v="278.56354166666665"/>
    <n v="809.83333333333337"/>
    <n v="32833.408680555556"/>
    <x v="0"/>
    <n v="31141.730208333331"/>
  </r>
  <r>
    <n v="1007"/>
    <s v="RENU"/>
    <x v="0"/>
    <x v="4"/>
    <n v="43750"/>
    <n v="1"/>
    <n v="29"/>
    <n v="4"/>
    <n v="42291.666666666664"/>
    <n v="8458.3333333333339"/>
    <n v="4229.166666666667"/>
    <n v="3383.3333333333335"/>
    <n v="729.16666666666663"/>
    <n v="59091.666666666664"/>
    <n v="5074.9999999999991"/>
    <n v="443.18749999999994"/>
    <n v="4623.8888888888887"/>
    <n v="48949.590277777781"/>
    <x v="0"/>
    <n v="52433.743055555555"/>
  </r>
  <r>
    <n v="1008"/>
    <s v="HIMANSHI"/>
    <x v="2"/>
    <x v="5"/>
    <n v="49000"/>
    <n v="3"/>
    <n v="27"/>
    <n v="6"/>
    <n v="44100"/>
    <n v="8820"/>
    <n v="4410"/>
    <n v="3527.9999999999995"/>
    <n v="1225"/>
    <n v="62083"/>
    <n v="5292"/>
    <n v="465.6225"/>
    <n v="5609.0999999999995"/>
    <n v="50716.277499999997"/>
    <x v="0"/>
    <n v="55466.722499999996"/>
  </r>
  <r>
    <n v="1009"/>
    <s v="Namco"/>
    <x v="0"/>
    <x v="0"/>
    <n v="58333.333333333336"/>
    <n v="1"/>
    <n v="29"/>
    <n v="5"/>
    <n v="56388.888888888891"/>
    <n v="11277.777777777777"/>
    <n v="5638.8888888888887"/>
    <n v="4511.1111111111113"/>
    <n v="1215.2777777777778"/>
    <n v="79031.944444444453"/>
    <n v="6766.666666666667"/>
    <n v="592.73958333333337"/>
    <n v="8514.7222222222226"/>
    <n v="63157.815972222234"/>
    <x v="0"/>
    <n v="72263.017361111109"/>
  </r>
  <r>
    <n v="1010"/>
    <s v="Ritika"/>
    <x v="1"/>
    <x v="6"/>
    <n v="29166.666666666668"/>
    <n v="1"/>
    <n v="29"/>
    <n v="8"/>
    <n v="28194.444444444445"/>
    <n v="5638.8888888888887"/>
    <n v="2819.4444444444443"/>
    <n v="2255.5555555555557"/>
    <n v="972.22222222222229"/>
    <n v="39880.555555555555"/>
    <n v="3383.3333333333335"/>
    <n v="299.10416666666663"/>
    <n v="938.47222222222229"/>
    <n v="35259.645833333328"/>
    <x v="0"/>
    <n v="32815.354166666664"/>
  </r>
  <r>
    <n v="1011"/>
    <s v="JATIN"/>
    <x v="3"/>
    <x v="7"/>
    <n v="23333.333333333332"/>
    <n v="3"/>
    <n v="27"/>
    <n v="8"/>
    <n v="21000"/>
    <n v="4200"/>
    <n v="2100"/>
    <n v="1680"/>
    <n v="777.77777777777771"/>
    <n v="29757.777777777777"/>
    <n v="2520"/>
    <n v="223.18333333333331"/>
    <n v="511.50000000000006"/>
    <n v="26503.094444444443"/>
    <x v="0"/>
    <n v="24254.683333333334"/>
  </r>
  <r>
    <n v="1012"/>
    <s v="SUMIT"/>
    <x v="1"/>
    <x v="6"/>
    <n v="41999.999999999993"/>
    <n v="1"/>
    <n v="29"/>
    <n v="9"/>
    <n v="40599.999999999993"/>
    <n v="8120"/>
    <n v="4060"/>
    <n v="3247.9999999999995"/>
    <n v="1574.9999999999998"/>
    <n v="57602.999999999993"/>
    <n v="4871.9999999999991"/>
    <n v="432.02249999999992"/>
    <n v="4156.9888888888891"/>
    <n v="48141.988611111105"/>
    <x v="0"/>
    <n v="50061.011388888881"/>
  </r>
  <r>
    <n v="1013"/>
    <s v="ABHIJEET"/>
    <x v="1"/>
    <x v="8"/>
    <n v="24500"/>
    <n v="0"/>
    <n v="30"/>
    <n v="2"/>
    <n v="24500"/>
    <n v="4900"/>
    <n v="2450"/>
    <n v="1959.9999999999998"/>
    <n v="204.16666666666666"/>
    <n v="34014.166666666664"/>
    <n v="2940"/>
    <n v="255.10624999999996"/>
    <n v="648.83333333333337"/>
    <n v="30170.227083333331"/>
    <x v="0"/>
    <n v="28343.939583333333"/>
  </r>
  <r>
    <n v="1014"/>
    <s v="ARBAZ"/>
    <x v="1"/>
    <x v="8"/>
    <n v="20416.666666666664"/>
    <n v="3"/>
    <n v="27"/>
    <n v="4"/>
    <n v="18374.999999999996"/>
    <n v="3675"/>
    <n v="1837.5"/>
    <n v="1469.9999999999998"/>
    <n v="340.27777777777771"/>
    <n v="25697.777777777774"/>
    <n v="2204.9999999999995"/>
    <n v="192.73333333333329"/>
    <n v="330.375"/>
    <n v="22969.66944444444"/>
    <x v="0"/>
    <n v="21103.10833333333"/>
  </r>
  <r>
    <n v="1001"/>
    <s v="ANUSHKA"/>
    <x v="0"/>
    <x v="0"/>
    <n v="35000"/>
    <n v="0"/>
    <n v="30"/>
    <n v="29"/>
    <n v="35000"/>
    <n v="7000"/>
    <n v="3500"/>
    <n v="2800"/>
    <n v="4229.166666666667"/>
    <n v="52529.166666666664"/>
    <n v="4200"/>
    <n v="393.96874999999994"/>
    <n v="2368.3333333333335"/>
    <n v="45566.864583333328"/>
    <x v="1"/>
    <n v="41962.302083333336"/>
  </r>
  <r>
    <n v="1002"/>
    <s v="NEHA"/>
    <x v="1"/>
    <x v="1"/>
    <n v="40833.333333333328"/>
    <n v="2"/>
    <n v="28"/>
    <n v="1"/>
    <n v="38111.111111111102"/>
    <n v="7622.2222222222226"/>
    <n v="3811.1111111111113"/>
    <n v="3048.8888888888882"/>
    <n v="170.13888888888886"/>
    <n v="52763.472222222219"/>
    <n v="4573.3333333333321"/>
    <n v="395.72604166666662"/>
    <n v="3713.1111111111113"/>
    <n v="44081.301736111112"/>
    <x v="1"/>
    <n v="46793.281597222216"/>
  </r>
  <r>
    <n v="1003"/>
    <s v="DEEPALI"/>
    <x v="1"/>
    <x v="2"/>
    <n v="46666.666666666664"/>
    <n v="0"/>
    <n v="30"/>
    <n v="0"/>
    <n v="46666.666666666664"/>
    <n v="9333.3333333333339"/>
    <n v="4666.666666666667"/>
    <n v="3733.3333333333335"/>
    <n v="0"/>
    <n v="64400"/>
    <n v="5599.9999999999991"/>
    <n v="483"/>
    <n v="5588.333333333333"/>
    <n v="52728.666666666672"/>
    <x v="1"/>
    <n v="58338"/>
  </r>
  <r>
    <n v="1004"/>
    <s v="KHUSHBOO"/>
    <x v="0"/>
    <x v="0"/>
    <n v="52500"/>
    <n v="0"/>
    <n v="30"/>
    <n v="9"/>
    <n v="52500"/>
    <n v="10500"/>
    <n v="5250"/>
    <n v="4200"/>
    <n v="1968.75"/>
    <n v="74418.75"/>
    <n v="6300"/>
    <n v="558.140625"/>
    <n v="7198.333333333333"/>
    <n v="60362.276041666672"/>
    <x v="1"/>
    <n v="66556.473958333328"/>
  </r>
  <r>
    <n v="1005"/>
    <s v="SIDRA"/>
    <x v="0"/>
    <x v="0"/>
    <n v="23333.333333333332"/>
    <n v="0"/>
    <n v="30"/>
    <n v="3"/>
    <n v="23333.333333333332"/>
    <n v="4666.666666666667"/>
    <n v="2333.3333333333335"/>
    <n v="1866.6666666666667"/>
    <n v="291.66666666666663"/>
    <n v="32491.666666666668"/>
    <n v="2799.9999999999995"/>
    <n v="243.6875"/>
    <n v="568.33333333333337"/>
    <n v="28879.645833333336"/>
    <x v="1"/>
    <n v="26945.354166666664"/>
  </r>
  <r>
    <n v="1006"/>
    <s v="LAXMI"/>
    <x v="1"/>
    <x v="3"/>
    <n v="26833.333333333332"/>
    <n v="0"/>
    <n v="30"/>
    <n v="1"/>
    <n v="26833.333333333332"/>
    <n v="5366.666666666667"/>
    <n v="2683.3333333333335"/>
    <n v="2146.6666666666665"/>
    <n v="111.80555555555556"/>
    <n v="37141.805555555555"/>
    <n v="3219.9999999999995"/>
    <n v="278.56354166666665"/>
    <n v="809.83333333333337"/>
    <n v="32833.408680555556"/>
    <x v="1"/>
    <n v="31141.730208333331"/>
  </r>
  <r>
    <n v="1007"/>
    <s v="RENU"/>
    <x v="0"/>
    <x v="4"/>
    <n v="43750"/>
    <n v="3"/>
    <n v="27"/>
    <n v="4"/>
    <n v="39375"/>
    <n v="7875.0000000000009"/>
    <n v="3937.5000000000005"/>
    <n v="3150"/>
    <n v="729.16666666666663"/>
    <n v="55066.666666666664"/>
    <n v="4725"/>
    <n v="412.99999999999994"/>
    <n v="4305"/>
    <n v="45623.666666666664"/>
    <x v="1"/>
    <n v="48818"/>
  </r>
  <r>
    <n v="1008"/>
    <s v="HIMANSHI"/>
    <x v="2"/>
    <x v="5"/>
    <n v="49000"/>
    <n v="2"/>
    <n v="28"/>
    <n v="6"/>
    <n v="45733.333333333328"/>
    <n v="9146.6666666666679"/>
    <n v="4573.3333333333339"/>
    <n v="3658.6666666666665"/>
    <n v="1225"/>
    <n v="64337"/>
    <n v="5487.9999999999991"/>
    <n v="482.52749999999997"/>
    <n v="5816.844444444444"/>
    <n v="52549.628055555557"/>
    <x v="1"/>
    <n v="57520.705277777772"/>
  </r>
  <r>
    <n v="1009"/>
    <s v="Namco"/>
    <x v="0"/>
    <x v="0"/>
    <n v="58333.333333333336"/>
    <n v="0"/>
    <n v="30"/>
    <n v="5"/>
    <n v="58333.333333333336"/>
    <n v="11666.666666666666"/>
    <n v="5833.333333333333"/>
    <n v="4666.666666666667"/>
    <n v="1215.2777777777778"/>
    <n v="81715.277777777781"/>
    <n v="7000"/>
    <n v="612.86458333333337"/>
    <n v="8808.3333333333339"/>
    <n v="65294.079861111109"/>
    <x v="1"/>
    <n v="74754.53125"/>
  </r>
  <r>
    <n v="1010"/>
    <s v="Ritika"/>
    <x v="1"/>
    <x v="6"/>
    <n v="29166.666666666668"/>
    <n v="0"/>
    <n v="30"/>
    <n v="8"/>
    <n v="29166.666666666668"/>
    <n v="5833.333333333333"/>
    <n v="2916.6666666666665"/>
    <n v="2333.3333333333335"/>
    <n v="972.22222222222229"/>
    <n v="41222.222222222219"/>
    <n v="3500"/>
    <n v="309.16666666666663"/>
    <n v="970.83333333333348"/>
    <n v="36442.222222222219"/>
    <x v="1"/>
    <n v="33946.666666666672"/>
  </r>
  <r>
    <n v="1011"/>
    <s v="JATIN"/>
    <x v="3"/>
    <x v="7"/>
    <n v="23333.333333333332"/>
    <n v="2"/>
    <n v="28"/>
    <n v="8"/>
    <n v="21777.777777777777"/>
    <n v="4355.5555555555557"/>
    <n v="2177.7777777777778"/>
    <n v="1742.2222222222222"/>
    <n v="777.77777777777771"/>
    <n v="30831.111111111109"/>
    <n v="2613.333333333333"/>
    <n v="231.23333333333332"/>
    <n v="530.44444444444446"/>
    <n v="27456.1"/>
    <x v="1"/>
    <n v="25152.788888888888"/>
  </r>
  <r>
    <n v="1012"/>
    <s v="SUMIT"/>
    <x v="1"/>
    <x v="6"/>
    <n v="41999.999999999993"/>
    <n v="2"/>
    <n v="28"/>
    <n v="9"/>
    <n v="39199.999999999993"/>
    <n v="7840"/>
    <n v="3920"/>
    <n v="3135.9999999999995"/>
    <n v="1574.9999999999998"/>
    <n v="55670.999999999993"/>
    <n v="4703.9999999999991"/>
    <n v="417.53249999999991"/>
    <n v="4013.6444444444442"/>
    <n v="46535.823055555549"/>
    <x v="1"/>
    <n v="48335.176944444436"/>
  </r>
  <r>
    <n v="1013"/>
    <s v="ABHIJEET"/>
    <x v="1"/>
    <x v="8"/>
    <n v="24500"/>
    <n v="3"/>
    <n v="27"/>
    <n v="2"/>
    <n v="22050"/>
    <n v="4410"/>
    <n v="2205"/>
    <n v="1763.9999999999998"/>
    <n v="204.16666666666666"/>
    <n v="30633.166666666668"/>
    <n v="2646"/>
    <n v="229.74875"/>
    <n v="583.95000000000005"/>
    <n v="27173.467916666668"/>
    <x v="1"/>
    <n v="25509.69875"/>
  </r>
  <r>
    <n v="1014"/>
    <s v="ARBAZ"/>
    <x v="1"/>
    <x v="8"/>
    <n v="20416.666666666664"/>
    <n v="2"/>
    <n v="28"/>
    <n v="4"/>
    <n v="19055.555555555551"/>
    <n v="3811.1111111111113"/>
    <n v="1905.5555555555557"/>
    <n v="1524.4444444444441"/>
    <n v="340.27777777777771"/>
    <n v="26636.944444444442"/>
    <n v="2286.6666666666661"/>
    <n v="199.77708333333331"/>
    <n v="342.61111111111109"/>
    <n v="23807.88958333333"/>
    <x v="1"/>
    <n v="21884.610416666663"/>
  </r>
  <r>
    <n v="1001"/>
    <s v="ANUSHKA"/>
    <x v="0"/>
    <x v="0"/>
    <n v="35000"/>
    <n v="2"/>
    <n v="28"/>
    <n v="29"/>
    <n v="32666.666666666668"/>
    <n v="6533.3333333333339"/>
    <n v="3266.666666666667"/>
    <n v="2613.333333333333"/>
    <n v="4229.166666666667"/>
    <n v="49309.166666666664"/>
    <n v="3920"/>
    <n v="369.81874999999997"/>
    <n v="2210.4444444444443"/>
    <n v="42808.90347222222"/>
    <x v="2"/>
    <n v="39166.929861111115"/>
  </r>
  <r>
    <n v="1002"/>
    <s v="NEHA"/>
    <x v="1"/>
    <x v="1"/>
    <n v="40833.333333333328"/>
    <n v="3"/>
    <n v="27"/>
    <n v="1"/>
    <n v="36749.999999999993"/>
    <n v="7350"/>
    <n v="3675"/>
    <n v="2939.9999999999995"/>
    <n v="170.13888888888886"/>
    <n v="50885.138888888883"/>
    <n v="4409.9999999999991"/>
    <n v="381.63854166666658"/>
    <n v="3580.5"/>
    <n v="42513.000347222216"/>
    <x v="2"/>
    <n v="45122.13854166666"/>
  </r>
  <r>
    <n v="1003"/>
    <s v="DEEPALI"/>
    <x v="1"/>
    <x v="2"/>
    <n v="46666.666666666664"/>
    <n v="0"/>
    <n v="30"/>
    <n v="0"/>
    <n v="46666.666666666664"/>
    <n v="9333.3333333333339"/>
    <n v="4666.666666666667"/>
    <n v="3733.3333333333335"/>
    <n v="0"/>
    <n v="64400"/>
    <n v="5599.9999999999991"/>
    <n v="483"/>
    <n v="5588.333333333333"/>
    <n v="52728.666666666672"/>
    <x v="2"/>
    <n v="58338"/>
  </r>
  <r>
    <n v="1004"/>
    <s v="KHUSHBOO"/>
    <x v="0"/>
    <x v="0"/>
    <n v="52500"/>
    <n v="2"/>
    <n v="28"/>
    <n v="9"/>
    <n v="49000"/>
    <n v="9800"/>
    <n v="4900"/>
    <n v="3920"/>
    <n v="1968.75"/>
    <n v="69588.75"/>
    <n v="5880"/>
    <n v="521.91562499999998"/>
    <n v="6718.4444444444443"/>
    <n v="56468.389930555553"/>
    <x v="2"/>
    <n v="62120.360069444447"/>
  </r>
  <r>
    <n v="1005"/>
    <s v="SIDRA"/>
    <x v="0"/>
    <x v="0"/>
    <n v="23333.333333333332"/>
    <n v="0"/>
    <n v="30"/>
    <n v="3"/>
    <n v="23333.333333333332"/>
    <n v="4666.666666666667"/>
    <n v="2333.3333333333335"/>
    <n v="1866.6666666666667"/>
    <n v="291.66666666666663"/>
    <n v="32491.666666666668"/>
    <n v="2799.9999999999995"/>
    <n v="243.6875"/>
    <n v="568.33333333333337"/>
    <n v="28879.645833333336"/>
    <x v="2"/>
    <n v="26945.354166666664"/>
  </r>
  <r>
    <n v="1006"/>
    <s v="LAXMI"/>
    <x v="1"/>
    <x v="3"/>
    <n v="26833.333333333332"/>
    <n v="1"/>
    <n v="29"/>
    <n v="1"/>
    <n v="25938.888888888891"/>
    <n v="5187.7777777777774"/>
    <n v="2593.8888888888887"/>
    <n v="2075.1111111111113"/>
    <n v="111.80555555555556"/>
    <n v="35907.472222222219"/>
    <n v="3112.666666666667"/>
    <n v="269.30604166666666"/>
    <n v="782.83888888888896"/>
    <n v="31742.660624999997"/>
    <x v="2"/>
    <n v="30103.700486111113"/>
  </r>
  <r>
    <n v="1007"/>
    <s v="RENU"/>
    <x v="0"/>
    <x v="4"/>
    <n v="43750"/>
    <n v="2"/>
    <n v="28"/>
    <n v="4"/>
    <n v="40833.333333333328"/>
    <n v="8166.666666666667"/>
    <n v="4083.3333333333335"/>
    <n v="3266.666666666667"/>
    <n v="729.16666666666663"/>
    <n v="57079.166666666657"/>
    <n v="4899.9999999999991"/>
    <n v="428.09374999999989"/>
    <n v="4464.4444444444443"/>
    <n v="47286.628472222212"/>
    <x v="2"/>
    <n v="50625.871527777774"/>
  </r>
  <r>
    <n v="1008"/>
    <s v="HIMANSHI"/>
    <x v="2"/>
    <x v="5"/>
    <n v="49000"/>
    <n v="1"/>
    <n v="29"/>
    <n v="6"/>
    <n v="47366.666666666664"/>
    <n v="9473.3333333333339"/>
    <n v="4736.666666666667"/>
    <n v="3789.333333333333"/>
    <n v="1225"/>
    <n v="66591"/>
    <n v="5683.9999999999991"/>
    <n v="499.4325"/>
    <n v="6024.5888888888885"/>
    <n v="54382.978611111117"/>
    <x v="2"/>
    <n v="59574.688055555554"/>
  </r>
  <r>
    <n v="1009"/>
    <s v="Namco"/>
    <x v="0"/>
    <x v="0"/>
    <n v="58333.333333333336"/>
    <n v="1"/>
    <n v="29"/>
    <n v="5"/>
    <n v="56388.888888888891"/>
    <n v="11277.777777777777"/>
    <n v="5638.8888888888887"/>
    <n v="4511.1111111111113"/>
    <n v="1215.2777777777778"/>
    <n v="79031.944444444453"/>
    <n v="6766.666666666667"/>
    <n v="592.73958333333337"/>
    <n v="8514.7222222222226"/>
    <n v="63157.815972222234"/>
    <x v="2"/>
    <n v="72263.017361111109"/>
  </r>
  <r>
    <n v="1010"/>
    <s v="Ritika"/>
    <x v="1"/>
    <x v="6"/>
    <n v="29166.666666666668"/>
    <n v="2"/>
    <n v="28"/>
    <n v="8"/>
    <n v="27222.222222222223"/>
    <n v="5444.4444444444443"/>
    <n v="2722.2222222222222"/>
    <n v="2177.7777777777778"/>
    <n v="972.22222222222229"/>
    <n v="38538.888888888891"/>
    <n v="3266.6666666666665"/>
    <n v="289.04166666666669"/>
    <n v="906.1111111111112"/>
    <n v="34077.069444444445"/>
    <x v="2"/>
    <n v="31684.041666666668"/>
  </r>
  <r>
    <n v="1011"/>
    <s v="JATIN"/>
    <x v="3"/>
    <x v="7"/>
    <n v="23333.333333333332"/>
    <n v="2"/>
    <n v="28"/>
    <n v="8"/>
    <n v="21777.777777777777"/>
    <n v="4355.5555555555557"/>
    <n v="2177.7777777777778"/>
    <n v="1742.2222222222222"/>
    <n v="777.77777777777771"/>
    <n v="30831.111111111109"/>
    <n v="2613.333333333333"/>
    <n v="231.23333333333332"/>
    <n v="530.44444444444446"/>
    <n v="27456.1"/>
    <x v="2"/>
    <n v="25152.788888888888"/>
  </r>
  <r>
    <n v="1012"/>
    <s v="SUMIT"/>
    <x v="1"/>
    <x v="6"/>
    <n v="41999.999999999993"/>
    <n v="1"/>
    <n v="29"/>
    <n v="9"/>
    <n v="40599.999999999993"/>
    <n v="8120"/>
    <n v="4060"/>
    <n v="3247.9999999999995"/>
    <n v="1574.9999999999998"/>
    <n v="57602.999999999993"/>
    <n v="4871.9999999999991"/>
    <n v="432.02249999999992"/>
    <n v="4156.9888888888891"/>
    <n v="48141.988611111105"/>
    <x v="2"/>
    <n v="50061.011388888881"/>
  </r>
  <r>
    <n v="1013"/>
    <s v="ABHIJEET"/>
    <x v="1"/>
    <x v="8"/>
    <n v="24500"/>
    <n v="3"/>
    <n v="27"/>
    <n v="2"/>
    <n v="22050"/>
    <n v="4410"/>
    <n v="2205"/>
    <n v="1763.9999999999998"/>
    <n v="204.16666666666666"/>
    <n v="30633.166666666668"/>
    <n v="2646"/>
    <n v="229.74875"/>
    <n v="583.95000000000005"/>
    <n v="27173.467916666668"/>
    <x v="2"/>
    <n v="25509.69875"/>
  </r>
  <r>
    <n v="1014"/>
    <s v="ARBAZ"/>
    <x v="1"/>
    <x v="8"/>
    <n v="20416.666666666664"/>
    <n v="3"/>
    <n v="27"/>
    <n v="4"/>
    <n v="18374.999999999996"/>
    <n v="3675"/>
    <n v="1837.5"/>
    <n v="1469.9999999999998"/>
    <n v="340.27777777777771"/>
    <n v="25697.777777777774"/>
    <n v="2204.9999999999995"/>
    <n v="192.73333333333329"/>
    <n v="330.375"/>
    <n v="22969.66944444444"/>
    <x v="2"/>
    <n v="21103.108333333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46309C-BAD4-4A80-9145-767DB77F71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1:D15" firstHeaderRow="0" firstDataRow="1" firstDataCol="1"/>
  <pivotFields count="23">
    <pivotField showAll="0"/>
    <pivotField showAll="0"/>
    <pivotField showAll="0">
      <items count="5">
        <item x="3"/>
        <item x="2"/>
        <item x="1"/>
        <item x="0"/>
        <item t="default"/>
      </items>
    </pivotField>
    <pivotField showAll="0"/>
    <pivotField numFmtId="164" showAll="0"/>
    <pivotField showAll="0"/>
    <pivotField showAll="0"/>
    <pivotField showAll="0"/>
    <pivotField dataField="1"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4" showAll="0">
      <items count="4">
        <item x="2"/>
        <item x="0"/>
        <item x="1"/>
        <item t="default"/>
      </items>
    </pivotField>
    <pivotField dataField="1" numFmtId="165"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20"/>
  </rowFields>
  <rowItems count="4">
    <i>
      <x v="1"/>
    </i>
    <i>
      <x v="2"/>
    </i>
    <i>
      <x v="12"/>
    </i>
    <i t="grand">
      <x/>
    </i>
  </rowItems>
  <colFields count="1">
    <field x="-2"/>
  </colFields>
  <colItems count="2">
    <i>
      <x/>
    </i>
    <i i="1">
      <x v="1"/>
    </i>
  </colItems>
  <dataFields count="2">
    <dataField name="TOTAL CTC" fld="19" baseField="20" baseItem="1" numFmtId="165"/>
    <dataField name="SALARY EARNED" fld="8" baseField="20" baseItem="1" numFmtId="165"/>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B2E534-EB88-4F2F-BAAD-8B2B199E1E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0" firstDataRow="1" firstDataCol="1"/>
  <pivotFields count="23">
    <pivotField showAll="0"/>
    <pivotField showAll="0"/>
    <pivotField showAll="0">
      <items count="5">
        <item x="3"/>
        <item x="2"/>
        <item x="1"/>
        <item x="0"/>
        <item t="default"/>
      </items>
    </pivotField>
    <pivotField showAll="0"/>
    <pivotField numFmtId="164" showAll="0"/>
    <pivotField showAll="0"/>
    <pivotField showAll="0"/>
    <pivotField showAll="0"/>
    <pivotField numFmtId="165" showAll="0"/>
    <pivotField dataField="1" numFmtId="165" showAll="0"/>
    <pivotField dataField="1" numFmtId="165" showAll="0"/>
    <pivotField dataField="1" numFmtId="165" showAll="0"/>
    <pivotField numFmtId="165" showAll="0"/>
    <pivotField numFmtId="165" showAll="0"/>
    <pivotField numFmtId="165" showAll="0"/>
    <pivotField numFmtId="165" showAll="0"/>
    <pivotField numFmtId="165" showAll="0"/>
    <pivotField numFmtId="165" showAll="0"/>
    <pivotField numFmtId="14" showAll="0">
      <items count="4">
        <item x="2"/>
        <item x="0"/>
        <item x="1"/>
        <item t="default"/>
      </items>
    </pivotField>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0"/>
  </rowFields>
  <rowItems count="4">
    <i>
      <x v="1"/>
    </i>
    <i>
      <x v="2"/>
    </i>
    <i>
      <x v="12"/>
    </i>
    <i t="grand">
      <x/>
    </i>
  </rowItems>
  <colFields count="1">
    <field x="-2"/>
  </colFields>
  <colItems count="3">
    <i>
      <x/>
    </i>
    <i i="1">
      <x v="1"/>
    </i>
    <i i="2">
      <x v="2"/>
    </i>
  </colItems>
  <dataFields count="3">
    <dataField name="Total HRA" fld="9" baseField="20" baseItem="1" numFmtId="165"/>
    <dataField name="TOTAL DA" fld="10" baseField="20" baseItem="1" numFmtId="165"/>
    <dataField name="TOTAL TRAVEL" fld="11" baseField="20" baseItem="1" numFmtId="165"/>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92C933-BC6E-487A-8D8C-0410E595493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G44:H54" firstHeaderRow="1" firstDataRow="1" firstDataCol="1"/>
  <pivotFields count="23">
    <pivotField showAll="0"/>
    <pivotField showAll="0"/>
    <pivotField showAll="0">
      <items count="5">
        <item x="3"/>
        <item x="2"/>
        <item x="1"/>
        <item x="0"/>
        <item t="default"/>
      </items>
    </pivotField>
    <pivotField axis="axisRow" dataField="1" showAll="0" sortType="ascending">
      <items count="10">
        <item x="7"/>
        <item x="2"/>
        <item x="0"/>
        <item x="4"/>
        <item x="6"/>
        <item x="3"/>
        <item x="8"/>
        <item x="5"/>
        <item x="1"/>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4" showAll="0">
      <items count="4">
        <item x="2"/>
        <item x="0"/>
        <item x="1"/>
        <item t="default"/>
      </items>
    </pivotField>
    <pivotField numFmtId="165"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3"/>
  </rowFields>
  <rowItems count="10">
    <i>
      <x v="3"/>
    </i>
    <i>
      <x/>
    </i>
    <i>
      <x v="1"/>
    </i>
    <i>
      <x v="5"/>
    </i>
    <i>
      <x v="8"/>
    </i>
    <i>
      <x v="7"/>
    </i>
    <i>
      <x v="4"/>
    </i>
    <i>
      <x v="6"/>
    </i>
    <i>
      <x v="2"/>
    </i>
    <i t="grand">
      <x/>
    </i>
  </rowItems>
  <colItems count="1">
    <i/>
  </colItems>
  <dataFields count="1">
    <dataField name="Count of Designation" fld="3" subtotal="count" baseField="0" baseItem="0"/>
  </dataFields>
  <chartFormats count="3">
    <chartFormat chart="49" format="0" series="1">
      <pivotArea type="data" outline="0" fieldPosition="0">
        <references count="1">
          <reference field="4294967294" count="1" selected="0">
            <x v="0"/>
          </reference>
        </references>
      </pivotArea>
    </chartFormat>
    <chartFormat chart="49" format="1">
      <pivotArea type="data" outline="0" fieldPosition="0">
        <references count="2">
          <reference field="4294967294" count="1" selected="0">
            <x v="0"/>
          </reference>
          <reference field="3" count="1" selected="0">
            <x v="2"/>
          </reference>
        </references>
      </pivotArea>
    </chartFormat>
    <chartFormat chart="5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508ACC-9CDD-46A5-A73F-A00862D7D62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B41:C46" firstHeaderRow="1" firstDataRow="1" firstDataCol="1"/>
  <pivotFields count="23">
    <pivotField showAll="0"/>
    <pivotField showAll="0"/>
    <pivotField axis="axisRow" dataField="1" showAll="0">
      <items count="5">
        <item x="3"/>
        <item x="2"/>
        <item x="1"/>
        <item x="0"/>
        <item t="default"/>
      </items>
    </pivotField>
    <pivotField showAll="0"/>
    <pivotField numFmtId="164"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4" showAll="0">
      <items count="4">
        <item x="2"/>
        <item x="0"/>
        <item x="1"/>
        <item t="default"/>
      </items>
    </pivotField>
    <pivotField numFmtId="165"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2"/>
  </rowFields>
  <rowItems count="5">
    <i>
      <x/>
    </i>
    <i>
      <x v="1"/>
    </i>
    <i>
      <x v="2"/>
    </i>
    <i>
      <x v="3"/>
    </i>
    <i t="grand">
      <x/>
    </i>
  </rowItems>
  <colItems count="1">
    <i/>
  </colItems>
  <dataFields count="1">
    <dataField name="Count of Department" fld="2" subtotal="count" baseField="0" baseItem="0"/>
  </dataFields>
  <chartFormats count="2">
    <chartFormat chart="42"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4B3938-2898-4061-8301-E61BEB566B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B30:C35" firstHeaderRow="1" firstDataRow="1" firstDataCol="1"/>
  <pivotFields count="23">
    <pivotField showAll="0"/>
    <pivotField showAll="0"/>
    <pivotField axis="axisRow" showAll="0">
      <items count="5">
        <item x="3"/>
        <item x="2"/>
        <item x="1"/>
        <item x="0"/>
        <item t="default"/>
      </items>
    </pivotField>
    <pivotField showAll="0"/>
    <pivotField numFmtId="164" showAll="0"/>
    <pivotField showAll="0"/>
    <pivotField showAll="0"/>
    <pivotField showAll="0"/>
    <pivotField numFmtId="165" showAll="0"/>
    <pivotField numFmtId="165" showAll="0"/>
    <pivotField numFmtId="165" showAll="0"/>
    <pivotField numFmtId="165" showAll="0"/>
    <pivotField numFmtId="165" showAll="0"/>
    <pivotField dataField="1" numFmtId="165" showAll="0"/>
    <pivotField numFmtId="165" showAll="0"/>
    <pivotField numFmtId="165" showAll="0"/>
    <pivotField numFmtId="165" showAll="0"/>
    <pivotField numFmtId="165" showAll="0"/>
    <pivotField numFmtId="14" showAll="0">
      <items count="4">
        <item x="2"/>
        <item x="0"/>
        <item x="1"/>
        <item t="default"/>
      </items>
    </pivotField>
    <pivotField numFmtId="165"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2"/>
  </rowFields>
  <rowItems count="5">
    <i>
      <x/>
    </i>
    <i>
      <x v="1"/>
    </i>
    <i>
      <x v="2"/>
    </i>
    <i>
      <x v="3"/>
    </i>
    <i t="grand">
      <x/>
    </i>
  </rowItems>
  <colItems count="1">
    <i/>
  </colItems>
  <dataFields count="1">
    <dataField name="Sum of Gross Salary" fld="13" baseField="0" baseItem="0" numFmtId="165"/>
  </dataFields>
  <chartFormats count="10">
    <chartFormat chart="37" format="0" series="1">
      <pivotArea type="data" outline="0" fieldPosition="0">
        <references count="1">
          <reference field="4294967294" count="1" selected="0">
            <x v="0"/>
          </reference>
        </references>
      </pivotArea>
    </chartFormat>
    <chartFormat chart="45" format="6" series="1">
      <pivotArea type="data" outline="0" fieldPosition="0">
        <references count="1">
          <reference field="4294967294" count="1" selected="0">
            <x v="0"/>
          </reference>
        </references>
      </pivotArea>
    </chartFormat>
    <chartFormat chart="45" format="7">
      <pivotArea type="data" outline="0" fieldPosition="0">
        <references count="2">
          <reference field="4294967294" count="1" selected="0">
            <x v="0"/>
          </reference>
          <reference field="2" count="1" selected="0">
            <x v="0"/>
          </reference>
        </references>
      </pivotArea>
    </chartFormat>
    <chartFormat chart="45" format="8">
      <pivotArea type="data" outline="0" fieldPosition="0">
        <references count="2">
          <reference field="4294967294" count="1" selected="0">
            <x v="0"/>
          </reference>
          <reference field="2" count="1" selected="0">
            <x v="1"/>
          </reference>
        </references>
      </pivotArea>
    </chartFormat>
    <chartFormat chart="45" format="9">
      <pivotArea type="data" outline="0" fieldPosition="0">
        <references count="2">
          <reference field="4294967294" count="1" selected="0">
            <x v="0"/>
          </reference>
          <reference field="2" count="1" selected="0">
            <x v="2"/>
          </reference>
        </references>
      </pivotArea>
    </chartFormat>
    <chartFormat chart="45" format="10">
      <pivotArea type="data" outline="0" fieldPosition="0">
        <references count="2">
          <reference field="4294967294" count="1" selected="0">
            <x v="0"/>
          </reference>
          <reference field="2" count="1" selected="0">
            <x v="3"/>
          </reference>
        </references>
      </pivotArea>
    </chartFormat>
    <chartFormat chart="37" format="1">
      <pivotArea type="data" outline="0" fieldPosition="0">
        <references count="2">
          <reference field="4294967294" count="1" selected="0">
            <x v="0"/>
          </reference>
          <reference field="2" count="1" selected="0">
            <x v="0"/>
          </reference>
        </references>
      </pivotArea>
    </chartFormat>
    <chartFormat chart="37" format="2">
      <pivotArea type="data" outline="0" fieldPosition="0">
        <references count="2">
          <reference field="4294967294" count="1" selected="0">
            <x v="0"/>
          </reference>
          <reference field="2" count="1" selected="0">
            <x v="1"/>
          </reference>
        </references>
      </pivotArea>
    </chartFormat>
    <chartFormat chart="37" format="3">
      <pivotArea type="data" outline="0" fieldPosition="0">
        <references count="2">
          <reference field="4294967294" count="1" selected="0">
            <x v="0"/>
          </reference>
          <reference field="2" count="1" selected="0">
            <x v="2"/>
          </reference>
        </references>
      </pivotArea>
    </chartFormat>
    <chartFormat chart="37"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E41DA0-21F9-4778-A9BA-81E14A49AA2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21:D25" firstHeaderRow="0" firstDataRow="1" firstDataCol="1"/>
  <pivotFields count="23">
    <pivotField showAll="0"/>
    <pivotField showAll="0"/>
    <pivotField showAll="0">
      <items count="5">
        <item x="3"/>
        <item x="2"/>
        <item x="1"/>
        <item x="0"/>
        <item t="default"/>
      </items>
    </pivotField>
    <pivotField showAll="0"/>
    <pivotField numFmtId="164" showAll="0"/>
    <pivotField showAll="0"/>
    <pivotField showAll="0"/>
    <pivotField showAll="0"/>
    <pivotField numFmtId="165" showAll="0"/>
    <pivotField numFmtId="165" showAll="0"/>
    <pivotField numFmtId="165" showAll="0"/>
    <pivotField numFmtId="165" showAll="0"/>
    <pivotField numFmtId="165" showAll="0"/>
    <pivotField numFmtId="165" showAll="0"/>
    <pivotField dataField="1" numFmtId="165" showAll="0"/>
    <pivotField dataField="1" numFmtId="165" showAll="0"/>
    <pivotField numFmtId="165" showAll="0"/>
    <pivotField numFmtId="165" showAll="0"/>
    <pivotField numFmtId="14" showAll="0">
      <items count="4">
        <item x="2"/>
        <item x="0"/>
        <item x="1"/>
        <item t="default"/>
      </items>
    </pivotField>
    <pivotField numFmtId="165"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20"/>
  </rowFields>
  <rowItems count="4">
    <i>
      <x v="1"/>
    </i>
    <i>
      <x v="2"/>
    </i>
    <i>
      <x v="12"/>
    </i>
    <i t="grand">
      <x/>
    </i>
  </rowItems>
  <colFields count="1">
    <field x="-2"/>
  </colFields>
  <colItems count="2">
    <i>
      <x/>
    </i>
    <i i="1">
      <x v="1"/>
    </i>
  </colItems>
  <dataFields count="2">
    <dataField name="Total PF" fld="14" baseField="20" baseItem="1" numFmtId="165"/>
    <dataField name="Total ESI" fld="15" baseField="20" baseItem="1" numFmtId="165"/>
  </dataFields>
  <chartFormats count="4">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8F8524-BDE7-4477-B0C1-B10B5E57633D}"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7">
  <location ref="N3:N4" firstHeaderRow="1" firstDataRow="1" firstDataCol="0"/>
  <pivotFields count="23">
    <pivotField showAll="0"/>
    <pivotField showAll="0"/>
    <pivotField showAll="0">
      <items count="5">
        <item x="3"/>
        <item x="2"/>
        <item x="1"/>
        <item x="0"/>
        <item t="default"/>
      </items>
    </pivotField>
    <pivotField showAll="0">
      <items count="10">
        <item x="7"/>
        <item x="2"/>
        <item x="0"/>
        <item x="4"/>
        <item x="6"/>
        <item x="3"/>
        <item x="8"/>
        <item x="5"/>
        <item x="1"/>
        <item t="default"/>
      </items>
    </pivotField>
    <pivotField numFmtId="164"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4" showAll="0">
      <items count="4">
        <item x="2"/>
        <item x="0"/>
        <item x="1"/>
        <item t="default"/>
      </items>
    </pivotField>
    <pivotField dataField="1" numFmtId="165"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Items count="1">
    <i/>
  </rowItems>
  <colItems count="1">
    <i/>
  </colItems>
  <dataFields count="1">
    <dataField name="Total CTC" fld="19" baseField="0" baseItem="0" numFmtId="165"/>
  </dataFields>
  <formats count="9">
    <format dxfId="15">
      <pivotArea type="all" dataOnly="0" outline="0" fieldPosition="0"/>
    </format>
    <format dxfId="16">
      <pivotArea outline="0" collapsedLevelsAreSubtotals="1" fieldPosition="0"/>
    </format>
    <format dxfId="17">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76A318-C82F-41DD-A666-AB4E78D3E105}"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7">
  <location ref="P3:P4" firstHeaderRow="1" firstDataRow="1" firstDataCol="0"/>
  <pivotFields count="23">
    <pivotField showAll="0"/>
    <pivotField showAll="0"/>
    <pivotField showAll="0">
      <items count="5">
        <item x="3"/>
        <item x="2"/>
        <item x="1"/>
        <item x="0"/>
        <item t="default"/>
      </items>
    </pivotField>
    <pivotField showAll="0">
      <items count="10">
        <item x="7"/>
        <item x="2"/>
        <item x="0"/>
        <item x="4"/>
        <item x="6"/>
        <item x="3"/>
        <item x="8"/>
        <item x="5"/>
        <item x="1"/>
        <item t="default"/>
      </items>
    </pivotField>
    <pivotField numFmtId="164" showAll="0"/>
    <pivotField showAll="0"/>
    <pivotField showAll="0"/>
    <pivotField showAll="0"/>
    <pivotField numFmtId="165" showAll="0"/>
    <pivotField numFmtId="165" showAll="0"/>
    <pivotField numFmtId="165" showAll="0"/>
    <pivotField numFmtId="165" showAll="0"/>
    <pivotField numFmtId="165" showAll="0"/>
    <pivotField dataField="1" numFmtId="165" showAll="0"/>
    <pivotField numFmtId="165" showAll="0"/>
    <pivotField numFmtId="165" showAll="0"/>
    <pivotField numFmtId="165" showAll="0"/>
    <pivotField numFmtId="165" showAll="0"/>
    <pivotField numFmtId="14" showAll="0">
      <items count="4">
        <item x="2"/>
        <item x="0"/>
        <item x="1"/>
        <item t="default"/>
      </items>
    </pivotField>
    <pivotField numFmtId="165"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Items count="1">
    <i/>
  </rowItems>
  <colItems count="1">
    <i/>
  </colItems>
  <dataFields count="1">
    <dataField name="Total Gross Salary" fld="13" baseField="0" baseItem="0" numFmtId="165"/>
  </dataFields>
  <formats count="9">
    <format dxfId="18">
      <pivotArea type="all" dataOnly="0" outline="0" fieldPosition="0"/>
    </format>
    <format dxfId="19">
      <pivotArea outline="0" collapsedLevelsAreSubtotals="1" fieldPosition="0"/>
    </format>
    <format dxfId="20">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CC3B9F7-69D6-48AA-86C2-3F88CB46F2C9}" sourceName="Department">
  <pivotTables>
    <pivotTable tabId="3" name="PivotTable4"/>
    <pivotTable tabId="3" name="PivotTable1"/>
    <pivotTable tabId="3" name="PivotTable2"/>
    <pivotTable tabId="3" name="PivotTable3"/>
    <pivotTable tabId="3" name="PivotTable5"/>
    <pivotTable tabId="3" name="PivotTable7"/>
    <pivotTable tabId="5" name="PivotTable8"/>
    <pivotTable tabId="5" name="PivotTable6"/>
  </pivotTables>
  <data>
    <tabular pivotCacheId="356421335">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ary_Date" xr10:uid="{97BBDEA3-7BF2-4AE5-AB11-7ED827E5694A}" sourceName="Months (Salary_Date)">
  <pivotTables>
    <pivotTable tabId="3" name="PivotTable4"/>
    <pivotTable tabId="3" name="PivotTable1"/>
    <pivotTable tabId="3" name="PivotTable2"/>
    <pivotTable tabId="3" name="PivotTable3"/>
    <pivotTable tabId="3" name="PivotTable5"/>
    <pivotTable tabId="3" name="PivotTable7"/>
    <pivotTable tabId="5" name="PivotTable8"/>
    <pivotTable tabId="5" name="PivotTable6"/>
  </pivotTables>
  <data>
    <tabular pivotCacheId="356421335">
      <items count="14">
        <i x="1" s="1"/>
        <i x="2" s="1"/>
        <i x="12" s="1"/>
        <i x="3" s="1" nd="1"/>
        <i x="4" s="1" nd="1"/>
        <i x="5" s="1" nd="1"/>
        <i x="6" s="1" nd="1"/>
        <i x="7" s="1" nd="1"/>
        <i x="8" s="1" nd="1"/>
        <i x="9" s="1" nd="1"/>
        <i x="10" s="1" nd="1"/>
        <i x="11"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Salary_Date" xr10:uid="{D485A4A3-3E62-4C2B-8209-325BE02BB7AC}" sourceName="Quarters (Salary_Date)">
  <pivotTables>
    <pivotTable tabId="3" name="PivotTable4"/>
    <pivotTable tabId="3" name="PivotTable1"/>
    <pivotTable tabId="3" name="PivotTable2"/>
    <pivotTable tabId="3" name="PivotTable3"/>
    <pivotTable tabId="3" name="PivotTable5"/>
    <pivotTable tabId="3" name="PivotTable7"/>
    <pivotTable tabId="5" name="PivotTable8"/>
    <pivotTable tabId="5" name="PivotTable6"/>
  </pivotTables>
  <data>
    <tabular pivotCacheId="356421335">
      <items count="6">
        <i x="1" s="1"/>
        <i x="4" s="1"/>
        <i x="0" s="1" nd="1"/>
        <i x="5" s="1" nd="1"/>
        <i x="2"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alary_Date" xr10:uid="{68C07EE3-24DB-4A0F-ADB4-B6945CCD9F3C}" sourceName="Years (Salary_Date)">
  <pivotTables>
    <pivotTable tabId="3" name="PivotTable5"/>
    <pivotTable tabId="3" name="PivotTable1"/>
    <pivotTable tabId="3" name="PivotTable2"/>
    <pivotTable tabId="3" name="PivotTable3"/>
    <pivotTable tabId="3" name="PivotTable4"/>
    <pivotTable tabId="3" name="PivotTable7"/>
    <pivotTable tabId="5" name="PivotTable8"/>
    <pivotTable tabId="5" name="PivotTable6"/>
  </pivotTables>
  <data>
    <tabular pivotCacheId="356421335">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47D327A-5342-4B45-8403-8311A99A0F99}" cache="Slicer_Department" caption="Department" columnCount="4" style="Slicer Style 6" rowHeight="241300"/>
  <slicer name="Months (Salary_Date)" xr10:uid="{72A26C49-4431-4FB3-90AD-07A2AE188DC9}" cache="Slicer_Months__Salary_Date" caption="Months (Salary_Date)" style="Slicer Style 6" rowHeight="241300"/>
  <slicer name="Quarters (Salary_Date)" xr10:uid="{601F3881-2B55-4CCF-AB2C-28E7867DF90D}" cache="Slicer_Quarters__Salary_Date" caption="Quarters (Salary_Date)" style="Slicer Style 6" rowHeight="241300"/>
  <slicer name="Years (Salary_Date)" xr10:uid="{BAE7C7AE-92B5-4D38-9953-5D68E0F30D5E}" cache="Slicer_Years__Salary_Date" caption="Years (Salary_Date)" style="Slicer Style 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4B71E-D57B-4D0B-98A0-8D2A9EBA7041}">
  <dimension ref="A3:H54"/>
  <sheetViews>
    <sheetView zoomScale="93" workbookViewId="0">
      <selection activeCell="A37" sqref="A37"/>
    </sheetView>
  </sheetViews>
  <sheetFormatPr defaultRowHeight="15" x14ac:dyDescent="0.25"/>
  <cols>
    <col min="1" max="2" width="13.7109375" bestFit="1" customWidth="1"/>
    <col min="3" max="3" width="20.7109375" bestFit="1" customWidth="1"/>
    <col min="4" max="4" width="8.85546875" bestFit="1" customWidth="1"/>
    <col min="5" max="5" width="20.5703125" bestFit="1" customWidth="1"/>
    <col min="7" max="7" width="17.28515625" bestFit="1" customWidth="1"/>
    <col min="8" max="8" width="20.5703125" bestFit="1" customWidth="1"/>
  </cols>
  <sheetData>
    <row r="3" spans="1:4" x14ac:dyDescent="0.25">
      <c r="A3" s="9" t="s">
        <v>48</v>
      </c>
      <c r="B3" t="s">
        <v>51</v>
      </c>
      <c r="C3" t="s">
        <v>52</v>
      </c>
      <c r="D3" t="s">
        <v>53</v>
      </c>
    </row>
    <row r="4" spans="1:4" x14ac:dyDescent="0.25">
      <c r="A4" s="10" t="s">
        <v>50</v>
      </c>
      <c r="B4" s="8">
        <v>97790</v>
      </c>
      <c r="C4" s="8">
        <v>48895</v>
      </c>
      <c r="D4" s="8">
        <v>39116</v>
      </c>
    </row>
    <row r="5" spans="1:4" x14ac:dyDescent="0.25">
      <c r="A5" s="10" t="s">
        <v>61</v>
      </c>
      <c r="B5" s="8">
        <v>99427.222222222219</v>
      </c>
      <c r="C5" s="8">
        <v>49713.611111111109</v>
      </c>
      <c r="D5" s="8">
        <v>39770.888888888891</v>
      </c>
    </row>
    <row r="6" spans="1:4" x14ac:dyDescent="0.25">
      <c r="A6" s="10" t="s">
        <v>62</v>
      </c>
      <c r="B6" s="8">
        <v>97793.888888888891</v>
      </c>
      <c r="C6" s="8">
        <v>48896.944444444445</v>
      </c>
      <c r="D6" s="8">
        <v>39117.555555555555</v>
      </c>
    </row>
    <row r="7" spans="1:4" x14ac:dyDescent="0.25">
      <c r="A7" s="10" t="s">
        <v>49</v>
      </c>
      <c r="B7" s="8">
        <v>295011.11111111112</v>
      </c>
      <c r="C7" s="8">
        <v>147505.55555555556</v>
      </c>
      <c r="D7" s="8">
        <v>118004.44444444444</v>
      </c>
    </row>
    <row r="11" spans="1:4" x14ac:dyDescent="0.25">
      <c r="B11" s="9" t="s">
        <v>48</v>
      </c>
      <c r="C11" t="s">
        <v>54</v>
      </c>
      <c r="D11" t="s">
        <v>55</v>
      </c>
    </row>
    <row r="12" spans="1:4" x14ac:dyDescent="0.25">
      <c r="B12" s="10" t="s">
        <v>50</v>
      </c>
      <c r="C12" s="8">
        <v>597506.42451388889</v>
      </c>
      <c r="D12" s="8">
        <v>488949.99999999994</v>
      </c>
    </row>
    <row r="13" spans="1:4" x14ac:dyDescent="0.25">
      <c r="B13" s="10" t="s">
        <v>61</v>
      </c>
      <c r="C13" s="8">
        <v>607659.32020833343</v>
      </c>
      <c r="D13" s="8">
        <v>497136.11111111107</v>
      </c>
    </row>
    <row r="14" spans="1:4" x14ac:dyDescent="0.25">
      <c r="B14" s="10" t="s">
        <v>62</v>
      </c>
      <c r="C14" s="8">
        <v>597770.70909722219</v>
      </c>
      <c r="D14" s="8">
        <v>488969.44444444444</v>
      </c>
    </row>
    <row r="15" spans="1:4" x14ac:dyDescent="0.25">
      <c r="B15" s="10" t="s">
        <v>49</v>
      </c>
      <c r="C15" s="8">
        <v>1802936.4538194446</v>
      </c>
      <c r="D15" s="8">
        <v>1475055.5555555555</v>
      </c>
    </row>
    <row r="21" spans="2:4" x14ac:dyDescent="0.25">
      <c r="B21" s="9" t="s">
        <v>48</v>
      </c>
      <c r="C21" t="s">
        <v>56</v>
      </c>
      <c r="D21" t="s">
        <v>57</v>
      </c>
    </row>
    <row r="22" spans="2:4" x14ac:dyDescent="0.25">
      <c r="B22" s="10" t="s">
        <v>50</v>
      </c>
      <c r="C22" s="8">
        <v>58674</v>
      </c>
      <c r="D22" s="8">
        <v>5164.2106249999997</v>
      </c>
    </row>
    <row r="23" spans="2:4" x14ac:dyDescent="0.25">
      <c r="B23" s="10" t="s">
        <v>61</v>
      </c>
      <c r="C23" s="8">
        <v>59656.333333333328</v>
      </c>
      <c r="D23" s="8">
        <v>5248.9368750000003</v>
      </c>
    </row>
    <row r="24" spans="2:4" x14ac:dyDescent="0.25">
      <c r="B24" s="10" t="s">
        <v>62</v>
      </c>
      <c r="C24" s="8">
        <v>58676.333333333328</v>
      </c>
      <c r="D24" s="8">
        <v>5164.4118749999998</v>
      </c>
    </row>
    <row r="25" spans="2:4" x14ac:dyDescent="0.25">
      <c r="B25" s="10" t="s">
        <v>49</v>
      </c>
      <c r="C25" s="8">
        <v>177006.66666666666</v>
      </c>
      <c r="D25" s="8">
        <v>15577.559374999999</v>
      </c>
    </row>
    <row r="30" spans="2:4" x14ac:dyDescent="0.25">
      <c r="B30" s="9" t="s">
        <v>48</v>
      </c>
      <c r="C30" t="s">
        <v>58</v>
      </c>
    </row>
    <row r="31" spans="2:4" x14ac:dyDescent="0.25">
      <c r="B31" s="10" t="s">
        <v>41</v>
      </c>
      <c r="C31" s="8">
        <v>91420</v>
      </c>
    </row>
    <row r="32" spans="2:4" x14ac:dyDescent="0.25">
      <c r="B32" s="10" t="s">
        <v>35</v>
      </c>
      <c r="C32" s="8">
        <v>193011</v>
      </c>
    </row>
    <row r="33" spans="2:8" x14ac:dyDescent="0.25">
      <c r="B33" s="10" t="s">
        <v>24</v>
      </c>
      <c r="C33" s="8">
        <v>921488.16666666651</v>
      </c>
    </row>
    <row r="34" spans="2:8" x14ac:dyDescent="0.25">
      <c r="B34" s="10" t="s">
        <v>21</v>
      </c>
      <c r="C34" s="8">
        <v>871088.75</v>
      </c>
    </row>
    <row r="35" spans="2:8" x14ac:dyDescent="0.25">
      <c r="B35" s="10" t="s">
        <v>49</v>
      </c>
      <c r="C35" s="8">
        <v>2077007.9166666665</v>
      </c>
    </row>
    <row r="41" spans="2:8" x14ac:dyDescent="0.25">
      <c r="B41" s="9" t="s">
        <v>48</v>
      </c>
      <c r="C41" t="s">
        <v>59</v>
      </c>
    </row>
    <row r="42" spans="2:8" x14ac:dyDescent="0.25">
      <c r="B42" s="10" t="s">
        <v>41</v>
      </c>
      <c r="C42" s="11">
        <v>3</v>
      </c>
    </row>
    <row r="43" spans="2:8" x14ac:dyDescent="0.25">
      <c r="B43" s="10" t="s">
        <v>35</v>
      </c>
      <c r="C43" s="11">
        <v>3</v>
      </c>
    </row>
    <row r="44" spans="2:8" x14ac:dyDescent="0.25">
      <c r="B44" s="10" t="s">
        <v>24</v>
      </c>
      <c r="C44" s="11">
        <v>21</v>
      </c>
      <c r="G44" s="9" t="s">
        <v>48</v>
      </c>
      <c r="H44" t="s">
        <v>60</v>
      </c>
    </row>
    <row r="45" spans="2:8" x14ac:dyDescent="0.25">
      <c r="B45" s="10" t="s">
        <v>21</v>
      </c>
      <c r="C45" s="11">
        <v>15</v>
      </c>
      <c r="G45" s="10" t="s">
        <v>33</v>
      </c>
      <c r="H45" s="11">
        <v>3</v>
      </c>
    </row>
    <row r="46" spans="2:8" x14ac:dyDescent="0.25">
      <c r="B46" s="10" t="s">
        <v>49</v>
      </c>
      <c r="C46" s="11">
        <v>42</v>
      </c>
      <c r="G46" s="10" t="s">
        <v>42</v>
      </c>
      <c r="H46" s="11">
        <v>3</v>
      </c>
    </row>
    <row r="47" spans="2:8" x14ac:dyDescent="0.25">
      <c r="G47" s="10" t="s">
        <v>27</v>
      </c>
      <c r="H47" s="11">
        <v>3</v>
      </c>
    </row>
    <row r="48" spans="2:8" x14ac:dyDescent="0.25">
      <c r="G48" s="10" t="s">
        <v>31</v>
      </c>
      <c r="H48" s="11">
        <v>3</v>
      </c>
    </row>
    <row r="49" spans="7:8" x14ac:dyDescent="0.25">
      <c r="G49" s="10" t="s">
        <v>25</v>
      </c>
      <c r="H49" s="11">
        <v>3</v>
      </c>
    </row>
    <row r="50" spans="7:8" x14ac:dyDescent="0.25">
      <c r="G50" s="10" t="s">
        <v>36</v>
      </c>
      <c r="H50" s="11">
        <v>3</v>
      </c>
    </row>
    <row r="51" spans="7:8" x14ac:dyDescent="0.25">
      <c r="G51" s="10" t="s">
        <v>39</v>
      </c>
      <c r="H51" s="11">
        <v>6</v>
      </c>
    </row>
    <row r="52" spans="7:8" x14ac:dyDescent="0.25">
      <c r="G52" s="10" t="s">
        <v>45</v>
      </c>
      <c r="H52" s="11">
        <v>6</v>
      </c>
    </row>
    <row r="53" spans="7:8" x14ac:dyDescent="0.25">
      <c r="G53" s="10" t="s">
        <v>22</v>
      </c>
      <c r="H53" s="11">
        <v>12</v>
      </c>
    </row>
    <row r="54" spans="7:8" x14ac:dyDescent="0.25">
      <c r="G54" s="10" t="s">
        <v>49</v>
      </c>
      <c r="H54" s="11">
        <v>42</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2203E-0562-45EC-9F5B-F06A95FE8D70}">
  <dimension ref="N3:P4"/>
  <sheetViews>
    <sheetView showGridLines="0" tabSelected="1" zoomScale="53" workbookViewId="0">
      <selection activeCell="AI35" sqref="AI35"/>
    </sheetView>
  </sheetViews>
  <sheetFormatPr defaultRowHeight="15" x14ac:dyDescent="0.25"/>
  <cols>
    <col min="14" max="14" width="28.7109375" customWidth="1"/>
    <col min="16" max="16" width="22.85546875" customWidth="1"/>
  </cols>
  <sheetData>
    <row r="3" spans="14:16" ht="24.75" x14ac:dyDescent="0.5">
      <c r="N3" s="12" t="s">
        <v>64</v>
      </c>
      <c r="O3" s="12"/>
      <c r="P3" s="12" t="s">
        <v>63</v>
      </c>
    </row>
    <row r="4" spans="14:16" ht="24.75" x14ac:dyDescent="0.5">
      <c r="N4" s="13">
        <v>1802936.4538194444</v>
      </c>
      <c r="O4" s="12"/>
      <c r="P4" s="13">
        <v>2077007.916666667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3"/>
  <sheetViews>
    <sheetView workbookViewId="0">
      <selection activeCell="O14" sqref="O14"/>
    </sheetView>
  </sheetViews>
  <sheetFormatPr defaultRowHeight="15" x14ac:dyDescent="0.25"/>
  <cols>
    <col min="5" max="5" width="14.28515625" customWidth="1"/>
    <col min="19" max="19" width="22.14062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3" t="s">
        <v>19</v>
      </c>
    </row>
    <row r="2" spans="1:20" x14ac:dyDescent="0.25">
      <c r="A2" s="4">
        <v>1001</v>
      </c>
      <c r="B2" s="4" t="s">
        <v>20</v>
      </c>
      <c r="C2" s="4" t="s">
        <v>21</v>
      </c>
      <c r="D2" s="4" t="s">
        <v>22</v>
      </c>
      <c r="E2" s="5">
        <v>35000</v>
      </c>
      <c r="F2" s="4">
        <v>2</v>
      </c>
      <c r="G2" s="4">
        <v>28</v>
      </c>
      <c r="H2" s="4">
        <v>29</v>
      </c>
      <c r="I2" s="6">
        <v>32666.666666666668</v>
      </c>
      <c r="J2" s="6">
        <v>6533.3333333333339</v>
      </c>
      <c r="K2" s="6">
        <v>3266.666666666667</v>
      </c>
      <c r="L2" s="6">
        <v>2613.333333333333</v>
      </c>
      <c r="M2" s="6">
        <v>4229.166666666667</v>
      </c>
      <c r="N2" s="6">
        <v>49309.166666666664</v>
      </c>
      <c r="O2" s="6">
        <v>3920</v>
      </c>
      <c r="P2" s="6">
        <v>369.81874999999997</v>
      </c>
      <c r="Q2" s="6">
        <v>2210.4444444444443</v>
      </c>
      <c r="R2" s="6">
        <v>42808.90347222222</v>
      </c>
      <c r="S2" s="7">
        <v>45658</v>
      </c>
      <c r="T2" s="8">
        <f>I2+O2+P2+Q2</f>
        <v>39166.929861111115</v>
      </c>
    </row>
    <row r="3" spans="1:20" x14ac:dyDescent="0.25">
      <c r="A3" s="4">
        <v>1002</v>
      </c>
      <c r="B3" s="4" t="s">
        <v>23</v>
      </c>
      <c r="C3" s="4" t="s">
        <v>24</v>
      </c>
      <c r="D3" s="4" t="s">
        <v>25</v>
      </c>
      <c r="E3" s="5">
        <v>40833.333333333328</v>
      </c>
      <c r="F3" s="4">
        <v>2</v>
      </c>
      <c r="G3" s="4">
        <v>28</v>
      </c>
      <c r="H3" s="4">
        <v>1</v>
      </c>
      <c r="I3" s="6">
        <v>38111.111111111102</v>
      </c>
      <c r="J3" s="6">
        <v>7622.2222222222226</v>
      </c>
      <c r="K3" s="6">
        <v>3811.1111111111113</v>
      </c>
      <c r="L3" s="6">
        <v>3048.8888888888882</v>
      </c>
      <c r="M3" s="6">
        <v>170.13888888888886</v>
      </c>
      <c r="N3" s="6">
        <v>52763.472222222219</v>
      </c>
      <c r="O3" s="6">
        <v>4573.3333333333321</v>
      </c>
      <c r="P3" s="6">
        <v>395.72604166666662</v>
      </c>
      <c r="Q3" s="6">
        <v>3713.1111111111113</v>
      </c>
      <c r="R3" s="6">
        <v>44081.301736111112</v>
      </c>
      <c r="S3" s="7">
        <v>45658</v>
      </c>
      <c r="T3" s="8">
        <f t="shared" ref="T3:T43" si="0">I3+O3+P3+Q3</f>
        <v>46793.281597222216</v>
      </c>
    </row>
    <row r="4" spans="1:20" x14ac:dyDescent="0.25">
      <c r="A4" s="4">
        <v>1003</v>
      </c>
      <c r="B4" s="4" t="s">
        <v>26</v>
      </c>
      <c r="C4" s="4" t="s">
        <v>24</v>
      </c>
      <c r="D4" s="4" t="s">
        <v>27</v>
      </c>
      <c r="E4" s="5">
        <v>46666.666666666664</v>
      </c>
      <c r="F4" s="4">
        <v>1</v>
      </c>
      <c r="G4" s="4">
        <v>29</v>
      </c>
      <c r="H4" s="4">
        <v>0</v>
      </c>
      <c r="I4" s="6">
        <v>45111.111111111109</v>
      </c>
      <c r="J4" s="6">
        <v>9022.2222222222226</v>
      </c>
      <c r="K4" s="6">
        <v>4511.1111111111113</v>
      </c>
      <c r="L4" s="6">
        <v>3608.8888888888887</v>
      </c>
      <c r="M4" s="6">
        <v>0</v>
      </c>
      <c r="N4" s="6">
        <v>62253.333333333328</v>
      </c>
      <c r="O4" s="6">
        <v>5413.333333333333</v>
      </c>
      <c r="P4" s="6">
        <v>466.89999999999992</v>
      </c>
      <c r="Q4" s="6">
        <v>5402.0555555555557</v>
      </c>
      <c r="R4" s="6">
        <v>50971.044444444444</v>
      </c>
      <c r="S4" s="7">
        <v>45658</v>
      </c>
      <c r="T4" s="8">
        <f t="shared" si="0"/>
        <v>56393.4</v>
      </c>
    </row>
    <row r="5" spans="1:20" x14ac:dyDescent="0.25">
      <c r="A5" s="4">
        <v>1004</v>
      </c>
      <c r="B5" s="4" t="s">
        <v>28</v>
      </c>
      <c r="C5" s="4" t="s">
        <v>21</v>
      </c>
      <c r="D5" s="4" t="s">
        <v>22</v>
      </c>
      <c r="E5" s="5">
        <v>52500</v>
      </c>
      <c r="F5" s="4">
        <v>2</v>
      </c>
      <c r="G5" s="4">
        <v>28</v>
      </c>
      <c r="H5" s="4">
        <v>9</v>
      </c>
      <c r="I5" s="6">
        <v>49000</v>
      </c>
      <c r="J5" s="6">
        <v>9800</v>
      </c>
      <c r="K5" s="6">
        <v>4900</v>
      </c>
      <c r="L5" s="6">
        <v>3920</v>
      </c>
      <c r="M5" s="6">
        <v>1968.75</v>
      </c>
      <c r="N5" s="6">
        <v>69588.75</v>
      </c>
      <c r="O5" s="6">
        <v>5880</v>
      </c>
      <c r="P5" s="6">
        <v>521.91562499999998</v>
      </c>
      <c r="Q5" s="6">
        <v>6718.4444444444443</v>
      </c>
      <c r="R5" s="6">
        <v>56468.389930555553</v>
      </c>
      <c r="S5" s="7">
        <v>45658</v>
      </c>
      <c r="T5" s="8">
        <f t="shared" si="0"/>
        <v>62120.360069444447</v>
      </c>
    </row>
    <row r="6" spans="1:20" x14ac:dyDescent="0.25">
      <c r="A6" s="4">
        <v>1005</v>
      </c>
      <c r="B6" s="4" t="s">
        <v>29</v>
      </c>
      <c r="C6" s="4" t="s">
        <v>21</v>
      </c>
      <c r="D6" s="4" t="s">
        <v>22</v>
      </c>
      <c r="E6" s="5">
        <v>23333.333333333332</v>
      </c>
      <c r="F6" s="4">
        <v>2</v>
      </c>
      <c r="G6" s="4">
        <v>28</v>
      </c>
      <c r="H6" s="4">
        <v>3</v>
      </c>
      <c r="I6" s="6">
        <v>21777.777777777777</v>
      </c>
      <c r="J6" s="6">
        <v>4355.5555555555557</v>
      </c>
      <c r="K6" s="6">
        <v>2177.7777777777778</v>
      </c>
      <c r="L6" s="6">
        <v>1742.2222222222222</v>
      </c>
      <c r="M6" s="6">
        <v>291.66666666666663</v>
      </c>
      <c r="N6" s="6">
        <v>30345</v>
      </c>
      <c r="O6" s="6">
        <v>2613.333333333333</v>
      </c>
      <c r="P6" s="6">
        <v>227.58750000000001</v>
      </c>
      <c r="Q6" s="6">
        <v>530.44444444444446</v>
      </c>
      <c r="R6" s="6">
        <v>26973.634722222221</v>
      </c>
      <c r="S6" s="7">
        <v>45658</v>
      </c>
      <c r="T6" s="8">
        <f t="shared" si="0"/>
        <v>25149.143055555556</v>
      </c>
    </row>
    <row r="7" spans="1:20" x14ac:dyDescent="0.25">
      <c r="A7" s="4">
        <v>1006</v>
      </c>
      <c r="B7" s="4" t="s">
        <v>30</v>
      </c>
      <c r="C7" s="4" t="s">
        <v>24</v>
      </c>
      <c r="D7" s="4" t="s">
        <v>31</v>
      </c>
      <c r="E7" s="5">
        <v>26833.333333333332</v>
      </c>
      <c r="F7" s="4">
        <v>0</v>
      </c>
      <c r="G7" s="4">
        <v>30</v>
      </c>
      <c r="H7" s="4">
        <v>1</v>
      </c>
      <c r="I7" s="6">
        <v>26833.333333333332</v>
      </c>
      <c r="J7" s="6">
        <v>5366.666666666667</v>
      </c>
      <c r="K7" s="6">
        <v>2683.3333333333335</v>
      </c>
      <c r="L7" s="6">
        <v>2146.6666666666665</v>
      </c>
      <c r="M7" s="6">
        <v>111.80555555555556</v>
      </c>
      <c r="N7" s="6">
        <v>37141.805555555555</v>
      </c>
      <c r="O7" s="6">
        <v>3219.9999999999995</v>
      </c>
      <c r="P7" s="6">
        <v>278.56354166666665</v>
      </c>
      <c r="Q7" s="6">
        <v>809.83333333333337</v>
      </c>
      <c r="R7" s="6">
        <v>32833.408680555556</v>
      </c>
      <c r="S7" s="7">
        <v>45658</v>
      </c>
      <c r="T7" s="8">
        <f t="shared" si="0"/>
        <v>31141.730208333331</v>
      </c>
    </row>
    <row r="8" spans="1:20" x14ac:dyDescent="0.25">
      <c r="A8" s="4">
        <v>1007</v>
      </c>
      <c r="B8" s="4" t="s">
        <v>32</v>
      </c>
      <c r="C8" s="4" t="s">
        <v>21</v>
      </c>
      <c r="D8" s="4" t="s">
        <v>33</v>
      </c>
      <c r="E8" s="5">
        <v>43750</v>
      </c>
      <c r="F8" s="4">
        <v>1</v>
      </c>
      <c r="G8" s="4">
        <v>29</v>
      </c>
      <c r="H8" s="4">
        <v>4</v>
      </c>
      <c r="I8" s="6">
        <v>42291.666666666664</v>
      </c>
      <c r="J8" s="6">
        <v>8458.3333333333339</v>
      </c>
      <c r="K8" s="6">
        <v>4229.166666666667</v>
      </c>
      <c r="L8" s="6">
        <v>3383.3333333333335</v>
      </c>
      <c r="M8" s="6">
        <v>729.16666666666663</v>
      </c>
      <c r="N8" s="6">
        <v>59091.666666666664</v>
      </c>
      <c r="O8" s="6">
        <v>5074.9999999999991</v>
      </c>
      <c r="P8" s="6">
        <v>443.18749999999994</v>
      </c>
      <c r="Q8" s="6">
        <v>4623.8888888888887</v>
      </c>
      <c r="R8" s="6">
        <v>48949.590277777781</v>
      </c>
      <c r="S8" s="7">
        <v>45658</v>
      </c>
      <c r="T8" s="8">
        <f t="shared" si="0"/>
        <v>52433.743055555555</v>
      </c>
    </row>
    <row r="9" spans="1:20" x14ac:dyDescent="0.25">
      <c r="A9" s="4">
        <v>1008</v>
      </c>
      <c r="B9" s="4" t="s">
        <v>34</v>
      </c>
      <c r="C9" s="4" t="s">
        <v>35</v>
      </c>
      <c r="D9" s="4" t="s">
        <v>36</v>
      </c>
      <c r="E9" s="5">
        <v>49000</v>
      </c>
      <c r="F9" s="4">
        <v>3</v>
      </c>
      <c r="G9" s="4">
        <v>27</v>
      </c>
      <c r="H9" s="4">
        <v>6</v>
      </c>
      <c r="I9" s="6">
        <v>44100</v>
      </c>
      <c r="J9" s="6">
        <v>8820</v>
      </c>
      <c r="K9" s="6">
        <v>4410</v>
      </c>
      <c r="L9" s="6">
        <v>3527.9999999999995</v>
      </c>
      <c r="M9" s="6">
        <v>1225</v>
      </c>
      <c r="N9" s="6">
        <v>62083</v>
      </c>
      <c r="O9" s="6">
        <v>5292</v>
      </c>
      <c r="P9" s="6">
        <v>465.6225</v>
      </c>
      <c r="Q9" s="6">
        <v>5609.0999999999995</v>
      </c>
      <c r="R9" s="6">
        <v>50716.277499999997</v>
      </c>
      <c r="S9" s="7">
        <v>45658</v>
      </c>
      <c r="T9" s="8">
        <f t="shared" si="0"/>
        <v>55466.722499999996</v>
      </c>
    </row>
    <row r="10" spans="1:20" x14ac:dyDescent="0.25">
      <c r="A10" s="4">
        <v>1009</v>
      </c>
      <c r="B10" s="4" t="s">
        <v>37</v>
      </c>
      <c r="C10" s="4" t="s">
        <v>21</v>
      </c>
      <c r="D10" s="4" t="s">
        <v>22</v>
      </c>
      <c r="E10" s="5">
        <v>58333.333333333336</v>
      </c>
      <c r="F10" s="4">
        <v>1</v>
      </c>
      <c r="G10" s="4">
        <v>29</v>
      </c>
      <c r="H10" s="4">
        <v>5</v>
      </c>
      <c r="I10" s="6">
        <v>56388.888888888891</v>
      </c>
      <c r="J10" s="6">
        <v>11277.777777777777</v>
      </c>
      <c r="K10" s="6">
        <v>5638.8888888888887</v>
      </c>
      <c r="L10" s="6">
        <v>4511.1111111111113</v>
      </c>
      <c r="M10" s="6">
        <v>1215.2777777777778</v>
      </c>
      <c r="N10" s="6">
        <v>79031.944444444453</v>
      </c>
      <c r="O10" s="6">
        <v>6766.666666666667</v>
      </c>
      <c r="P10" s="6">
        <v>592.73958333333337</v>
      </c>
      <c r="Q10" s="6">
        <v>8514.7222222222226</v>
      </c>
      <c r="R10" s="6">
        <v>63157.815972222234</v>
      </c>
      <c r="S10" s="7">
        <v>45658</v>
      </c>
      <c r="T10" s="8">
        <f t="shared" si="0"/>
        <v>72263.017361111109</v>
      </c>
    </row>
    <row r="11" spans="1:20" x14ac:dyDescent="0.25">
      <c r="A11" s="4">
        <v>1010</v>
      </c>
      <c r="B11" s="4" t="s">
        <v>38</v>
      </c>
      <c r="C11" s="4" t="s">
        <v>24</v>
      </c>
      <c r="D11" s="4" t="s">
        <v>39</v>
      </c>
      <c r="E11" s="5">
        <v>29166.666666666668</v>
      </c>
      <c r="F11" s="4">
        <v>1</v>
      </c>
      <c r="G11" s="4">
        <v>29</v>
      </c>
      <c r="H11" s="4">
        <v>8</v>
      </c>
      <c r="I11" s="6">
        <v>28194.444444444445</v>
      </c>
      <c r="J11" s="6">
        <v>5638.8888888888887</v>
      </c>
      <c r="K11" s="6">
        <v>2819.4444444444443</v>
      </c>
      <c r="L11" s="6">
        <v>2255.5555555555557</v>
      </c>
      <c r="M11" s="6">
        <v>972.22222222222229</v>
      </c>
      <c r="N11" s="6">
        <v>39880.555555555555</v>
      </c>
      <c r="O11" s="6">
        <v>3383.3333333333335</v>
      </c>
      <c r="P11" s="6">
        <v>299.10416666666663</v>
      </c>
      <c r="Q11" s="6">
        <v>938.47222222222229</v>
      </c>
      <c r="R11" s="6">
        <v>35259.645833333328</v>
      </c>
      <c r="S11" s="7">
        <v>45658</v>
      </c>
      <c r="T11" s="8">
        <f t="shared" si="0"/>
        <v>32815.354166666664</v>
      </c>
    </row>
    <row r="12" spans="1:20" x14ac:dyDescent="0.25">
      <c r="A12" s="4">
        <v>1011</v>
      </c>
      <c r="B12" s="4" t="s">
        <v>40</v>
      </c>
      <c r="C12" s="4" t="s">
        <v>41</v>
      </c>
      <c r="D12" s="4" t="s">
        <v>42</v>
      </c>
      <c r="E12" s="5">
        <v>23333.333333333332</v>
      </c>
      <c r="F12" s="4">
        <v>3</v>
      </c>
      <c r="G12" s="4">
        <v>27</v>
      </c>
      <c r="H12" s="4">
        <v>8</v>
      </c>
      <c r="I12" s="6">
        <v>21000</v>
      </c>
      <c r="J12" s="6">
        <v>4200</v>
      </c>
      <c r="K12" s="6">
        <v>2100</v>
      </c>
      <c r="L12" s="6">
        <v>1680</v>
      </c>
      <c r="M12" s="6">
        <v>777.77777777777771</v>
      </c>
      <c r="N12" s="6">
        <v>29757.777777777777</v>
      </c>
      <c r="O12" s="6">
        <v>2520</v>
      </c>
      <c r="P12" s="6">
        <v>223.18333333333331</v>
      </c>
      <c r="Q12" s="6">
        <v>511.50000000000006</v>
      </c>
      <c r="R12" s="6">
        <v>26503.094444444443</v>
      </c>
      <c r="S12" s="7">
        <v>45658</v>
      </c>
      <c r="T12" s="8">
        <f t="shared" si="0"/>
        <v>24254.683333333334</v>
      </c>
    </row>
    <row r="13" spans="1:20" x14ac:dyDescent="0.25">
      <c r="A13" s="4">
        <v>1012</v>
      </c>
      <c r="B13" s="4" t="s">
        <v>43</v>
      </c>
      <c r="C13" s="4" t="s">
        <v>24</v>
      </c>
      <c r="D13" s="4" t="s">
        <v>39</v>
      </c>
      <c r="E13" s="5">
        <v>41999.999999999993</v>
      </c>
      <c r="F13" s="4">
        <v>1</v>
      </c>
      <c r="G13" s="4">
        <v>29</v>
      </c>
      <c r="H13" s="4">
        <v>9</v>
      </c>
      <c r="I13" s="6">
        <v>40599.999999999993</v>
      </c>
      <c r="J13" s="6">
        <v>8120</v>
      </c>
      <c r="K13" s="6">
        <v>4060</v>
      </c>
      <c r="L13" s="6">
        <v>3247.9999999999995</v>
      </c>
      <c r="M13" s="6">
        <v>1574.9999999999998</v>
      </c>
      <c r="N13" s="6">
        <v>57602.999999999993</v>
      </c>
      <c r="O13" s="6">
        <v>4871.9999999999991</v>
      </c>
      <c r="P13" s="6">
        <v>432.02249999999992</v>
      </c>
      <c r="Q13" s="6">
        <v>4156.9888888888891</v>
      </c>
      <c r="R13" s="6">
        <v>48141.988611111105</v>
      </c>
      <c r="S13" s="7">
        <v>45658</v>
      </c>
      <c r="T13" s="8">
        <f t="shared" si="0"/>
        <v>50061.011388888881</v>
      </c>
    </row>
    <row r="14" spans="1:20" x14ac:dyDescent="0.25">
      <c r="A14" s="4">
        <v>1013</v>
      </c>
      <c r="B14" s="4" t="s">
        <v>44</v>
      </c>
      <c r="C14" s="4" t="s">
        <v>24</v>
      </c>
      <c r="D14" s="4" t="s">
        <v>45</v>
      </c>
      <c r="E14" s="5">
        <v>24500</v>
      </c>
      <c r="F14" s="4">
        <v>0</v>
      </c>
      <c r="G14" s="4">
        <v>30</v>
      </c>
      <c r="H14" s="4">
        <v>2</v>
      </c>
      <c r="I14" s="6">
        <v>24500</v>
      </c>
      <c r="J14" s="6">
        <v>4900</v>
      </c>
      <c r="K14" s="6">
        <v>2450</v>
      </c>
      <c r="L14" s="6">
        <v>1959.9999999999998</v>
      </c>
      <c r="M14" s="6">
        <v>204.16666666666666</v>
      </c>
      <c r="N14" s="6">
        <v>34014.166666666664</v>
      </c>
      <c r="O14" s="6">
        <v>2940</v>
      </c>
      <c r="P14" s="6">
        <v>255.10624999999996</v>
      </c>
      <c r="Q14" s="6">
        <v>648.83333333333337</v>
      </c>
      <c r="R14" s="6">
        <v>30170.227083333331</v>
      </c>
      <c r="S14" s="7">
        <v>45658</v>
      </c>
      <c r="T14" s="8">
        <f t="shared" si="0"/>
        <v>28343.939583333333</v>
      </c>
    </row>
    <row r="15" spans="1:20" x14ac:dyDescent="0.25">
      <c r="A15" s="4">
        <v>1014</v>
      </c>
      <c r="B15" s="4" t="s">
        <v>46</v>
      </c>
      <c r="C15" s="4" t="s">
        <v>24</v>
      </c>
      <c r="D15" s="4" t="s">
        <v>45</v>
      </c>
      <c r="E15" s="5">
        <v>20416.666666666664</v>
      </c>
      <c r="F15" s="4">
        <v>3</v>
      </c>
      <c r="G15" s="4">
        <v>27</v>
      </c>
      <c r="H15" s="4">
        <v>4</v>
      </c>
      <c r="I15" s="6">
        <v>18374.999999999996</v>
      </c>
      <c r="J15" s="6">
        <v>3675</v>
      </c>
      <c r="K15" s="6">
        <v>1837.5</v>
      </c>
      <c r="L15" s="6">
        <v>1469.9999999999998</v>
      </c>
      <c r="M15" s="6">
        <v>340.27777777777771</v>
      </c>
      <c r="N15" s="6">
        <v>25697.777777777774</v>
      </c>
      <c r="O15" s="6">
        <v>2204.9999999999995</v>
      </c>
      <c r="P15" s="6">
        <v>192.73333333333329</v>
      </c>
      <c r="Q15" s="6">
        <v>330.375</v>
      </c>
      <c r="R15" s="6">
        <v>22969.66944444444</v>
      </c>
      <c r="S15" s="7">
        <v>45658</v>
      </c>
      <c r="T15" s="8">
        <f t="shared" si="0"/>
        <v>21103.10833333333</v>
      </c>
    </row>
    <row r="16" spans="1:20" x14ac:dyDescent="0.25">
      <c r="A16" s="4">
        <v>1001</v>
      </c>
      <c r="B16" s="4" t="s">
        <v>20</v>
      </c>
      <c r="C16" s="4" t="s">
        <v>21</v>
      </c>
      <c r="D16" s="4" t="s">
        <v>22</v>
      </c>
      <c r="E16" s="5">
        <v>35000</v>
      </c>
      <c r="F16" s="4">
        <v>0</v>
      </c>
      <c r="G16" s="4">
        <v>30</v>
      </c>
      <c r="H16" s="4">
        <v>29</v>
      </c>
      <c r="I16" s="6">
        <v>35000</v>
      </c>
      <c r="J16" s="6">
        <v>7000</v>
      </c>
      <c r="K16" s="6">
        <v>3500</v>
      </c>
      <c r="L16" s="6">
        <v>2800</v>
      </c>
      <c r="M16" s="6">
        <v>4229.166666666667</v>
      </c>
      <c r="N16" s="6">
        <v>52529.166666666664</v>
      </c>
      <c r="O16" s="6">
        <v>4200</v>
      </c>
      <c r="P16" s="6">
        <v>393.96874999999994</v>
      </c>
      <c r="Q16" s="6">
        <v>2368.3333333333335</v>
      </c>
      <c r="R16" s="6">
        <v>45566.864583333328</v>
      </c>
      <c r="S16" s="7">
        <v>45689</v>
      </c>
      <c r="T16" s="8">
        <f t="shared" si="0"/>
        <v>41962.302083333336</v>
      </c>
    </row>
    <row r="17" spans="1:20" x14ac:dyDescent="0.25">
      <c r="A17" s="4">
        <v>1002</v>
      </c>
      <c r="B17" s="4" t="s">
        <v>23</v>
      </c>
      <c r="C17" s="4" t="s">
        <v>24</v>
      </c>
      <c r="D17" s="4" t="s">
        <v>25</v>
      </c>
      <c r="E17" s="5">
        <v>40833.333333333328</v>
      </c>
      <c r="F17" s="4">
        <v>2</v>
      </c>
      <c r="G17" s="4">
        <v>28</v>
      </c>
      <c r="H17" s="4">
        <v>1</v>
      </c>
      <c r="I17" s="6">
        <v>38111.111111111102</v>
      </c>
      <c r="J17" s="6">
        <v>7622.2222222222226</v>
      </c>
      <c r="K17" s="6">
        <v>3811.1111111111113</v>
      </c>
      <c r="L17" s="6">
        <v>3048.8888888888882</v>
      </c>
      <c r="M17" s="6">
        <v>170.13888888888886</v>
      </c>
      <c r="N17" s="6">
        <v>52763.472222222219</v>
      </c>
      <c r="O17" s="6">
        <v>4573.3333333333321</v>
      </c>
      <c r="P17" s="6">
        <v>395.72604166666662</v>
      </c>
      <c r="Q17" s="6">
        <v>3713.1111111111113</v>
      </c>
      <c r="R17" s="6">
        <v>44081.301736111112</v>
      </c>
      <c r="S17" s="7">
        <v>45689</v>
      </c>
      <c r="T17" s="8">
        <f t="shared" si="0"/>
        <v>46793.281597222216</v>
      </c>
    </row>
    <row r="18" spans="1:20" x14ac:dyDescent="0.25">
      <c r="A18" s="4">
        <v>1003</v>
      </c>
      <c r="B18" s="4" t="s">
        <v>26</v>
      </c>
      <c r="C18" s="4" t="s">
        <v>24</v>
      </c>
      <c r="D18" s="4" t="s">
        <v>27</v>
      </c>
      <c r="E18" s="5">
        <v>46666.666666666664</v>
      </c>
      <c r="F18" s="4">
        <v>0</v>
      </c>
      <c r="G18" s="4">
        <v>30</v>
      </c>
      <c r="H18" s="4">
        <v>0</v>
      </c>
      <c r="I18" s="6">
        <v>46666.666666666664</v>
      </c>
      <c r="J18" s="6">
        <v>9333.3333333333339</v>
      </c>
      <c r="K18" s="6">
        <v>4666.666666666667</v>
      </c>
      <c r="L18" s="6">
        <v>3733.3333333333335</v>
      </c>
      <c r="M18" s="6">
        <v>0</v>
      </c>
      <c r="N18" s="6">
        <v>64400</v>
      </c>
      <c r="O18" s="6">
        <v>5599.9999999999991</v>
      </c>
      <c r="P18" s="6">
        <v>483</v>
      </c>
      <c r="Q18" s="6">
        <v>5588.333333333333</v>
      </c>
      <c r="R18" s="6">
        <v>52728.666666666672</v>
      </c>
      <c r="S18" s="7">
        <v>45689</v>
      </c>
      <c r="T18" s="8">
        <f t="shared" si="0"/>
        <v>58338</v>
      </c>
    </row>
    <row r="19" spans="1:20" x14ac:dyDescent="0.25">
      <c r="A19" s="4">
        <v>1004</v>
      </c>
      <c r="B19" s="4" t="s">
        <v>28</v>
      </c>
      <c r="C19" s="4" t="s">
        <v>21</v>
      </c>
      <c r="D19" s="4" t="s">
        <v>22</v>
      </c>
      <c r="E19" s="5">
        <v>52500</v>
      </c>
      <c r="F19" s="4">
        <v>0</v>
      </c>
      <c r="G19" s="4">
        <v>30</v>
      </c>
      <c r="H19" s="4">
        <v>9</v>
      </c>
      <c r="I19" s="6">
        <v>52500</v>
      </c>
      <c r="J19" s="6">
        <v>10500</v>
      </c>
      <c r="K19" s="6">
        <v>5250</v>
      </c>
      <c r="L19" s="6">
        <v>4200</v>
      </c>
      <c r="M19" s="6">
        <v>1968.75</v>
      </c>
      <c r="N19" s="6">
        <v>74418.75</v>
      </c>
      <c r="O19" s="6">
        <v>6300</v>
      </c>
      <c r="P19" s="6">
        <v>558.140625</v>
      </c>
      <c r="Q19" s="6">
        <v>7198.333333333333</v>
      </c>
      <c r="R19" s="6">
        <v>60362.276041666672</v>
      </c>
      <c r="S19" s="7">
        <v>45689</v>
      </c>
      <c r="T19" s="8">
        <f t="shared" si="0"/>
        <v>66556.473958333328</v>
      </c>
    </row>
    <row r="20" spans="1:20" x14ac:dyDescent="0.25">
      <c r="A20" s="4">
        <v>1005</v>
      </c>
      <c r="B20" s="4" t="s">
        <v>29</v>
      </c>
      <c r="C20" s="4" t="s">
        <v>21</v>
      </c>
      <c r="D20" s="4" t="s">
        <v>22</v>
      </c>
      <c r="E20" s="5">
        <v>23333.333333333332</v>
      </c>
      <c r="F20" s="4">
        <v>0</v>
      </c>
      <c r="G20" s="4">
        <v>30</v>
      </c>
      <c r="H20" s="4">
        <v>3</v>
      </c>
      <c r="I20" s="6">
        <v>23333.333333333332</v>
      </c>
      <c r="J20" s="6">
        <v>4666.666666666667</v>
      </c>
      <c r="K20" s="6">
        <v>2333.3333333333335</v>
      </c>
      <c r="L20" s="6">
        <v>1866.6666666666667</v>
      </c>
      <c r="M20" s="6">
        <v>291.66666666666663</v>
      </c>
      <c r="N20" s="6">
        <v>32491.666666666668</v>
      </c>
      <c r="O20" s="6">
        <v>2799.9999999999995</v>
      </c>
      <c r="P20" s="6">
        <v>243.6875</v>
      </c>
      <c r="Q20" s="6">
        <v>568.33333333333337</v>
      </c>
      <c r="R20" s="6">
        <v>28879.645833333336</v>
      </c>
      <c r="S20" s="7">
        <v>45689</v>
      </c>
      <c r="T20" s="8">
        <f t="shared" si="0"/>
        <v>26945.354166666664</v>
      </c>
    </row>
    <row r="21" spans="1:20" x14ac:dyDescent="0.25">
      <c r="A21" s="4">
        <v>1006</v>
      </c>
      <c r="B21" s="4" t="s">
        <v>30</v>
      </c>
      <c r="C21" s="4" t="s">
        <v>24</v>
      </c>
      <c r="D21" s="4" t="s">
        <v>31</v>
      </c>
      <c r="E21" s="5">
        <v>26833.333333333332</v>
      </c>
      <c r="F21" s="4">
        <v>0</v>
      </c>
      <c r="G21" s="4">
        <v>30</v>
      </c>
      <c r="H21" s="4">
        <v>1</v>
      </c>
      <c r="I21" s="6">
        <v>26833.333333333332</v>
      </c>
      <c r="J21" s="6">
        <v>5366.666666666667</v>
      </c>
      <c r="K21" s="6">
        <v>2683.3333333333335</v>
      </c>
      <c r="L21" s="6">
        <v>2146.6666666666665</v>
      </c>
      <c r="M21" s="6">
        <v>111.80555555555556</v>
      </c>
      <c r="N21" s="6">
        <v>37141.805555555555</v>
      </c>
      <c r="O21" s="6">
        <v>3219.9999999999995</v>
      </c>
      <c r="P21" s="6">
        <v>278.56354166666665</v>
      </c>
      <c r="Q21" s="6">
        <v>809.83333333333337</v>
      </c>
      <c r="R21" s="6">
        <v>32833.408680555556</v>
      </c>
      <c r="S21" s="7">
        <v>45689</v>
      </c>
      <c r="T21" s="8">
        <f t="shared" si="0"/>
        <v>31141.730208333331</v>
      </c>
    </row>
    <row r="22" spans="1:20" x14ac:dyDescent="0.25">
      <c r="A22" s="4">
        <v>1007</v>
      </c>
      <c r="B22" s="4" t="s">
        <v>32</v>
      </c>
      <c r="C22" s="4" t="s">
        <v>21</v>
      </c>
      <c r="D22" s="4" t="s">
        <v>33</v>
      </c>
      <c r="E22" s="5">
        <v>43750</v>
      </c>
      <c r="F22" s="4">
        <v>3</v>
      </c>
      <c r="G22" s="4">
        <v>27</v>
      </c>
      <c r="H22" s="4">
        <v>4</v>
      </c>
      <c r="I22" s="6">
        <v>39375</v>
      </c>
      <c r="J22" s="6">
        <v>7875.0000000000009</v>
      </c>
      <c r="K22" s="6">
        <v>3937.5000000000005</v>
      </c>
      <c r="L22" s="6">
        <v>3150</v>
      </c>
      <c r="M22" s="6">
        <v>729.16666666666663</v>
      </c>
      <c r="N22" s="6">
        <v>55066.666666666664</v>
      </c>
      <c r="O22" s="6">
        <v>4725</v>
      </c>
      <c r="P22" s="6">
        <v>412.99999999999994</v>
      </c>
      <c r="Q22" s="6">
        <v>4305</v>
      </c>
      <c r="R22" s="6">
        <v>45623.666666666664</v>
      </c>
      <c r="S22" s="7">
        <v>45689</v>
      </c>
      <c r="T22" s="8">
        <f t="shared" si="0"/>
        <v>48818</v>
      </c>
    </row>
    <row r="23" spans="1:20" x14ac:dyDescent="0.25">
      <c r="A23" s="4">
        <v>1008</v>
      </c>
      <c r="B23" s="4" t="s">
        <v>34</v>
      </c>
      <c r="C23" s="4" t="s">
        <v>35</v>
      </c>
      <c r="D23" s="4" t="s">
        <v>36</v>
      </c>
      <c r="E23" s="5">
        <v>49000</v>
      </c>
      <c r="F23" s="4">
        <v>2</v>
      </c>
      <c r="G23" s="4">
        <v>28</v>
      </c>
      <c r="H23" s="4">
        <v>6</v>
      </c>
      <c r="I23" s="6">
        <v>45733.333333333328</v>
      </c>
      <c r="J23" s="6">
        <v>9146.6666666666679</v>
      </c>
      <c r="K23" s="6">
        <v>4573.3333333333339</v>
      </c>
      <c r="L23" s="6">
        <v>3658.6666666666665</v>
      </c>
      <c r="M23" s="6">
        <v>1225</v>
      </c>
      <c r="N23" s="6">
        <v>64337</v>
      </c>
      <c r="O23" s="6">
        <v>5487.9999999999991</v>
      </c>
      <c r="P23" s="6">
        <v>482.52749999999997</v>
      </c>
      <c r="Q23" s="6">
        <v>5816.844444444444</v>
      </c>
      <c r="R23" s="6">
        <v>52549.628055555557</v>
      </c>
      <c r="S23" s="7">
        <v>45689</v>
      </c>
      <c r="T23" s="8">
        <f t="shared" si="0"/>
        <v>57520.705277777772</v>
      </c>
    </row>
    <row r="24" spans="1:20" x14ac:dyDescent="0.25">
      <c r="A24" s="4">
        <v>1009</v>
      </c>
      <c r="B24" s="4" t="s">
        <v>37</v>
      </c>
      <c r="C24" s="4" t="s">
        <v>21</v>
      </c>
      <c r="D24" s="4" t="s">
        <v>22</v>
      </c>
      <c r="E24" s="5">
        <v>58333.333333333336</v>
      </c>
      <c r="F24" s="4">
        <v>0</v>
      </c>
      <c r="G24" s="4">
        <v>30</v>
      </c>
      <c r="H24" s="4">
        <v>5</v>
      </c>
      <c r="I24" s="6">
        <v>58333.333333333336</v>
      </c>
      <c r="J24" s="6">
        <v>11666.666666666666</v>
      </c>
      <c r="K24" s="6">
        <v>5833.333333333333</v>
      </c>
      <c r="L24" s="6">
        <v>4666.666666666667</v>
      </c>
      <c r="M24" s="6">
        <v>1215.2777777777778</v>
      </c>
      <c r="N24" s="6">
        <v>81715.277777777781</v>
      </c>
      <c r="O24" s="6">
        <v>7000</v>
      </c>
      <c r="P24" s="6">
        <v>612.86458333333337</v>
      </c>
      <c r="Q24" s="6">
        <v>8808.3333333333339</v>
      </c>
      <c r="R24" s="6">
        <v>65294.079861111109</v>
      </c>
      <c r="S24" s="7">
        <v>45689</v>
      </c>
      <c r="T24" s="8">
        <f t="shared" si="0"/>
        <v>74754.53125</v>
      </c>
    </row>
    <row r="25" spans="1:20" x14ac:dyDescent="0.25">
      <c r="A25" s="4">
        <v>1010</v>
      </c>
      <c r="B25" s="4" t="s">
        <v>38</v>
      </c>
      <c r="C25" s="4" t="s">
        <v>24</v>
      </c>
      <c r="D25" s="4" t="s">
        <v>39</v>
      </c>
      <c r="E25" s="5">
        <v>29166.666666666668</v>
      </c>
      <c r="F25" s="4">
        <v>0</v>
      </c>
      <c r="G25" s="4">
        <v>30</v>
      </c>
      <c r="H25" s="4">
        <v>8</v>
      </c>
      <c r="I25" s="6">
        <v>29166.666666666668</v>
      </c>
      <c r="J25" s="6">
        <v>5833.333333333333</v>
      </c>
      <c r="K25" s="6">
        <v>2916.6666666666665</v>
      </c>
      <c r="L25" s="6">
        <v>2333.3333333333335</v>
      </c>
      <c r="M25" s="6">
        <v>972.22222222222229</v>
      </c>
      <c r="N25" s="6">
        <v>41222.222222222219</v>
      </c>
      <c r="O25" s="6">
        <v>3500</v>
      </c>
      <c r="P25" s="6">
        <v>309.16666666666663</v>
      </c>
      <c r="Q25" s="6">
        <v>970.83333333333348</v>
      </c>
      <c r="R25" s="6">
        <v>36442.222222222219</v>
      </c>
      <c r="S25" s="7">
        <v>45689</v>
      </c>
      <c r="T25" s="8">
        <f t="shared" si="0"/>
        <v>33946.666666666672</v>
      </c>
    </row>
    <row r="26" spans="1:20" x14ac:dyDescent="0.25">
      <c r="A26" s="4">
        <v>1011</v>
      </c>
      <c r="B26" s="4" t="s">
        <v>40</v>
      </c>
      <c r="C26" s="4" t="s">
        <v>41</v>
      </c>
      <c r="D26" s="4" t="s">
        <v>42</v>
      </c>
      <c r="E26" s="5">
        <v>23333.333333333332</v>
      </c>
      <c r="F26" s="4">
        <v>2</v>
      </c>
      <c r="G26" s="4">
        <v>28</v>
      </c>
      <c r="H26" s="4">
        <v>8</v>
      </c>
      <c r="I26" s="6">
        <v>21777.777777777777</v>
      </c>
      <c r="J26" s="6">
        <v>4355.5555555555557</v>
      </c>
      <c r="K26" s="6">
        <v>2177.7777777777778</v>
      </c>
      <c r="L26" s="6">
        <v>1742.2222222222222</v>
      </c>
      <c r="M26" s="6">
        <v>777.77777777777771</v>
      </c>
      <c r="N26" s="6">
        <v>30831.111111111109</v>
      </c>
      <c r="O26" s="6">
        <v>2613.333333333333</v>
      </c>
      <c r="P26" s="6">
        <v>231.23333333333332</v>
      </c>
      <c r="Q26" s="6">
        <v>530.44444444444446</v>
      </c>
      <c r="R26" s="6">
        <v>27456.1</v>
      </c>
      <c r="S26" s="7">
        <v>45689</v>
      </c>
      <c r="T26" s="8">
        <f t="shared" si="0"/>
        <v>25152.788888888888</v>
      </c>
    </row>
    <row r="27" spans="1:20" x14ac:dyDescent="0.25">
      <c r="A27" s="4">
        <v>1012</v>
      </c>
      <c r="B27" s="4" t="s">
        <v>43</v>
      </c>
      <c r="C27" s="4" t="s">
        <v>24</v>
      </c>
      <c r="D27" s="4" t="s">
        <v>39</v>
      </c>
      <c r="E27" s="5">
        <v>41999.999999999993</v>
      </c>
      <c r="F27" s="4">
        <v>2</v>
      </c>
      <c r="G27" s="4">
        <v>28</v>
      </c>
      <c r="H27" s="4">
        <v>9</v>
      </c>
      <c r="I27" s="6">
        <v>39199.999999999993</v>
      </c>
      <c r="J27" s="6">
        <v>7840</v>
      </c>
      <c r="K27" s="6">
        <v>3920</v>
      </c>
      <c r="L27" s="6">
        <v>3135.9999999999995</v>
      </c>
      <c r="M27" s="6">
        <v>1574.9999999999998</v>
      </c>
      <c r="N27" s="6">
        <v>55670.999999999993</v>
      </c>
      <c r="O27" s="6">
        <v>4703.9999999999991</v>
      </c>
      <c r="P27" s="6">
        <v>417.53249999999991</v>
      </c>
      <c r="Q27" s="6">
        <v>4013.6444444444442</v>
      </c>
      <c r="R27" s="6">
        <v>46535.823055555549</v>
      </c>
      <c r="S27" s="7">
        <v>45689</v>
      </c>
      <c r="T27" s="8">
        <f t="shared" si="0"/>
        <v>48335.176944444436</v>
      </c>
    </row>
    <row r="28" spans="1:20" x14ac:dyDescent="0.25">
      <c r="A28" s="4">
        <v>1013</v>
      </c>
      <c r="B28" s="4" t="s">
        <v>44</v>
      </c>
      <c r="C28" s="4" t="s">
        <v>24</v>
      </c>
      <c r="D28" s="4" t="s">
        <v>45</v>
      </c>
      <c r="E28" s="5">
        <v>24500</v>
      </c>
      <c r="F28" s="4">
        <v>3</v>
      </c>
      <c r="G28" s="4">
        <v>27</v>
      </c>
      <c r="H28" s="4">
        <v>2</v>
      </c>
      <c r="I28" s="6">
        <v>22050</v>
      </c>
      <c r="J28" s="6">
        <v>4410</v>
      </c>
      <c r="K28" s="6">
        <v>2205</v>
      </c>
      <c r="L28" s="6">
        <v>1763.9999999999998</v>
      </c>
      <c r="M28" s="6">
        <v>204.16666666666666</v>
      </c>
      <c r="N28" s="6">
        <v>30633.166666666668</v>
      </c>
      <c r="O28" s="6">
        <v>2646</v>
      </c>
      <c r="P28" s="6">
        <v>229.74875</v>
      </c>
      <c r="Q28" s="6">
        <v>583.95000000000005</v>
      </c>
      <c r="R28" s="6">
        <v>27173.467916666668</v>
      </c>
      <c r="S28" s="7">
        <v>45689</v>
      </c>
      <c r="T28" s="8">
        <f t="shared" si="0"/>
        <v>25509.69875</v>
      </c>
    </row>
    <row r="29" spans="1:20" x14ac:dyDescent="0.25">
      <c r="A29" s="4">
        <v>1014</v>
      </c>
      <c r="B29" s="4" t="s">
        <v>46</v>
      </c>
      <c r="C29" s="4" t="s">
        <v>24</v>
      </c>
      <c r="D29" s="4" t="s">
        <v>45</v>
      </c>
      <c r="E29" s="5">
        <v>20416.666666666664</v>
      </c>
      <c r="F29" s="4">
        <v>2</v>
      </c>
      <c r="G29" s="4">
        <v>28</v>
      </c>
      <c r="H29" s="4">
        <v>4</v>
      </c>
      <c r="I29" s="6">
        <v>19055.555555555551</v>
      </c>
      <c r="J29" s="6">
        <v>3811.1111111111113</v>
      </c>
      <c r="K29" s="6">
        <v>1905.5555555555557</v>
      </c>
      <c r="L29" s="6">
        <v>1524.4444444444441</v>
      </c>
      <c r="M29" s="6">
        <v>340.27777777777771</v>
      </c>
      <c r="N29" s="6">
        <v>26636.944444444442</v>
      </c>
      <c r="O29" s="6">
        <v>2286.6666666666661</v>
      </c>
      <c r="P29" s="6">
        <v>199.77708333333331</v>
      </c>
      <c r="Q29" s="6">
        <v>342.61111111111109</v>
      </c>
      <c r="R29" s="6">
        <v>23807.88958333333</v>
      </c>
      <c r="S29" s="7">
        <v>45689</v>
      </c>
      <c r="T29" s="8">
        <f t="shared" si="0"/>
        <v>21884.610416666663</v>
      </c>
    </row>
    <row r="30" spans="1:20" x14ac:dyDescent="0.25">
      <c r="A30" s="4">
        <v>1001</v>
      </c>
      <c r="B30" s="4" t="s">
        <v>20</v>
      </c>
      <c r="C30" s="4" t="s">
        <v>21</v>
      </c>
      <c r="D30" s="4" t="s">
        <v>22</v>
      </c>
      <c r="E30" s="5">
        <v>35000</v>
      </c>
      <c r="F30" s="4">
        <v>2</v>
      </c>
      <c r="G30" s="4">
        <v>28</v>
      </c>
      <c r="H30" s="4">
        <v>29</v>
      </c>
      <c r="I30" s="6">
        <v>32666.666666666668</v>
      </c>
      <c r="J30" s="6">
        <v>6533.3333333333339</v>
      </c>
      <c r="K30" s="6">
        <v>3266.666666666667</v>
      </c>
      <c r="L30" s="6">
        <v>2613.333333333333</v>
      </c>
      <c r="M30" s="6">
        <v>4229.166666666667</v>
      </c>
      <c r="N30" s="6">
        <v>49309.166666666664</v>
      </c>
      <c r="O30" s="6">
        <v>3920</v>
      </c>
      <c r="P30" s="6">
        <v>369.81874999999997</v>
      </c>
      <c r="Q30" s="6">
        <v>2210.4444444444443</v>
      </c>
      <c r="R30" s="6">
        <v>42808.90347222222</v>
      </c>
      <c r="S30" s="7">
        <v>45627</v>
      </c>
      <c r="T30" s="8">
        <f t="shared" si="0"/>
        <v>39166.929861111115</v>
      </c>
    </row>
    <row r="31" spans="1:20" x14ac:dyDescent="0.25">
      <c r="A31" s="4">
        <v>1002</v>
      </c>
      <c r="B31" s="4" t="s">
        <v>23</v>
      </c>
      <c r="C31" s="4" t="s">
        <v>24</v>
      </c>
      <c r="D31" s="4" t="s">
        <v>25</v>
      </c>
      <c r="E31" s="5">
        <v>40833.333333333328</v>
      </c>
      <c r="F31" s="4">
        <v>3</v>
      </c>
      <c r="G31" s="4">
        <v>27</v>
      </c>
      <c r="H31" s="4">
        <v>1</v>
      </c>
      <c r="I31" s="6">
        <v>36749.999999999993</v>
      </c>
      <c r="J31" s="6">
        <v>7350</v>
      </c>
      <c r="K31" s="6">
        <v>3675</v>
      </c>
      <c r="L31" s="6">
        <v>2939.9999999999995</v>
      </c>
      <c r="M31" s="6">
        <v>170.13888888888886</v>
      </c>
      <c r="N31" s="6">
        <v>50885.138888888883</v>
      </c>
      <c r="O31" s="6">
        <v>4409.9999999999991</v>
      </c>
      <c r="P31" s="6">
        <v>381.63854166666658</v>
      </c>
      <c r="Q31" s="6">
        <v>3580.5</v>
      </c>
      <c r="R31" s="6">
        <v>42513.000347222216</v>
      </c>
      <c r="S31" s="7">
        <v>45627</v>
      </c>
      <c r="T31" s="8">
        <f t="shared" si="0"/>
        <v>45122.13854166666</v>
      </c>
    </row>
    <row r="32" spans="1:20" x14ac:dyDescent="0.25">
      <c r="A32" s="4">
        <v>1003</v>
      </c>
      <c r="B32" s="4" t="s">
        <v>26</v>
      </c>
      <c r="C32" s="4" t="s">
        <v>24</v>
      </c>
      <c r="D32" s="4" t="s">
        <v>27</v>
      </c>
      <c r="E32" s="5">
        <v>46666.666666666664</v>
      </c>
      <c r="F32" s="4">
        <v>0</v>
      </c>
      <c r="G32" s="4">
        <v>30</v>
      </c>
      <c r="H32" s="4">
        <v>0</v>
      </c>
      <c r="I32" s="6">
        <v>46666.666666666664</v>
      </c>
      <c r="J32" s="6">
        <v>9333.3333333333339</v>
      </c>
      <c r="K32" s="6">
        <v>4666.666666666667</v>
      </c>
      <c r="L32" s="6">
        <v>3733.3333333333335</v>
      </c>
      <c r="M32" s="6">
        <v>0</v>
      </c>
      <c r="N32" s="6">
        <v>64400</v>
      </c>
      <c r="O32" s="6">
        <v>5599.9999999999991</v>
      </c>
      <c r="P32" s="6">
        <v>483</v>
      </c>
      <c r="Q32" s="6">
        <v>5588.333333333333</v>
      </c>
      <c r="R32" s="6">
        <v>52728.666666666672</v>
      </c>
      <c r="S32" s="7">
        <v>45627</v>
      </c>
      <c r="T32" s="8">
        <f t="shared" si="0"/>
        <v>58338</v>
      </c>
    </row>
    <row r="33" spans="1:20" x14ac:dyDescent="0.25">
      <c r="A33" s="4">
        <v>1004</v>
      </c>
      <c r="B33" s="4" t="s">
        <v>28</v>
      </c>
      <c r="C33" s="4" t="s">
        <v>21</v>
      </c>
      <c r="D33" s="4" t="s">
        <v>22</v>
      </c>
      <c r="E33" s="5">
        <v>52500</v>
      </c>
      <c r="F33" s="4">
        <v>2</v>
      </c>
      <c r="G33" s="4">
        <v>28</v>
      </c>
      <c r="H33" s="4">
        <v>9</v>
      </c>
      <c r="I33" s="6">
        <v>49000</v>
      </c>
      <c r="J33" s="6">
        <v>9800</v>
      </c>
      <c r="K33" s="6">
        <v>4900</v>
      </c>
      <c r="L33" s="6">
        <v>3920</v>
      </c>
      <c r="M33" s="6">
        <v>1968.75</v>
      </c>
      <c r="N33" s="6">
        <v>69588.75</v>
      </c>
      <c r="O33" s="6">
        <v>5880</v>
      </c>
      <c r="P33" s="6">
        <v>521.91562499999998</v>
      </c>
      <c r="Q33" s="6">
        <v>6718.4444444444443</v>
      </c>
      <c r="R33" s="6">
        <v>56468.389930555553</v>
      </c>
      <c r="S33" s="7">
        <v>45627</v>
      </c>
      <c r="T33" s="8">
        <f t="shared" si="0"/>
        <v>62120.360069444447</v>
      </c>
    </row>
    <row r="34" spans="1:20" x14ac:dyDescent="0.25">
      <c r="A34" s="4">
        <v>1005</v>
      </c>
      <c r="B34" s="4" t="s">
        <v>29</v>
      </c>
      <c r="C34" s="4" t="s">
        <v>21</v>
      </c>
      <c r="D34" s="4" t="s">
        <v>22</v>
      </c>
      <c r="E34" s="5">
        <v>23333.333333333332</v>
      </c>
      <c r="F34" s="4">
        <v>0</v>
      </c>
      <c r="G34" s="4">
        <v>30</v>
      </c>
      <c r="H34" s="4">
        <v>3</v>
      </c>
      <c r="I34" s="6">
        <v>23333.333333333332</v>
      </c>
      <c r="J34" s="6">
        <v>4666.666666666667</v>
      </c>
      <c r="K34" s="6">
        <v>2333.3333333333335</v>
      </c>
      <c r="L34" s="6">
        <v>1866.6666666666667</v>
      </c>
      <c r="M34" s="6">
        <v>291.66666666666663</v>
      </c>
      <c r="N34" s="6">
        <v>32491.666666666668</v>
      </c>
      <c r="O34" s="6">
        <v>2799.9999999999995</v>
      </c>
      <c r="P34" s="6">
        <v>243.6875</v>
      </c>
      <c r="Q34" s="6">
        <v>568.33333333333337</v>
      </c>
      <c r="R34" s="6">
        <v>28879.645833333336</v>
      </c>
      <c r="S34" s="7">
        <v>45627</v>
      </c>
      <c r="T34" s="8">
        <f t="shared" si="0"/>
        <v>26945.354166666664</v>
      </c>
    </row>
    <row r="35" spans="1:20" x14ac:dyDescent="0.25">
      <c r="A35" s="4">
        <v>1006</v>
      </c>
      <c r="B35" s="4" t="s">
        <v>30</v>
      </c>
      <c r="C35" s="4" t="s">
        <v>24</v>
      </c>
      <c r="D35" s="4" t="s">
        <v>31</v>
      </c>
      <c r="E35" s="5">
        <v>26833.333333333332</v>
      </c>
      <c r="F35" s="4">
        <v>1</v>
      </c>
      <c r="G35" s="4">
        <v>29</v>
      </c>
      <c r="H35" s="4">
        <v>1</v>
      </c>
      <c r="I35" s="6">
        <v>25938.888888888891</v>
      </c>
      <c r="J35" s="6">
        <v>5187.7777777777774</v>
      </c>
      <c r="K35" s="6">
        <v>2593.8888888888887</v>
      </c>
      <c r="L35" s="6">
        <v>2075.1111111111113</v>
      </c>
      <c r="M35" s="6">
        <v>111.80555555555556</v>
      </c>
      <c r="N35" s="6">
        <v>35907.472222222219</v>
      </c>
      <c r="O35" s="6">
        <v>3112.666666666667</v>
      </c>
      <c r="P35" s="6">
        <v>269.30604166666666</v>
      </c>
      <c r="Q35" s="6">
        <v>782.83888888888896</v>
      </c>
      <c r="R35" s="6">
        <v>31742.660624999997</v>
      </c>
      <c r="S35" s="7">
        <v>45627</v>
      </c>
      <c r="T35" s="8">
        <f t="shared" si="0"/>
        <v>30103.700486111113</v>
      </c>
    </row>
    <row r="36" spans="1:20" x14ac:dyDescent="0.25">
      <c r="A36" s="4">
        <v>1007</v>
      </c>
      <c r="B36" s="4" t="s">
        <v>32</v>
      </c>
      <c r="C36" s="4" t="s">
        <v>21</v>
      </c>
      <c r="D36" s="4" t="s">
        <v>33</v>
      </c>
      <c r="E36" s="5">
        <v>43750</v>
      </c>
      <c r="F36" s="4">
        <v>2</v>
      </c>
      <c r="G36" s="4">
        <v>28</v>
      </c>
      <c r="H36" s="4">
        <v>4</v>
      </c>
      <c r="I36" s="6">
        <v>40833.333333333328</v>
      </c>
      <c r="J36" s="6">
        <v>8166.666666666667</v>
      </c>
      <c r="K36" s="6">
        <v>4083.3333333333335</v>
      </c>
      <c r="L36" s="6">
        <v>3266.666666666667</v>
      </c>
      <c r="M36" s="6">
        <v>729.16666666666663</v>
      </c>
      <c r="N36" s="6">
        <v>57079.166666666657</v>
      </c>
      <c r="O36" s="6">
        <v>4899.9999999999991</v>
      </c>
      <c r="P36" s="6">
        <v>428.09374999999989</v>
      </c>
      <c r="Q36" s="6">
        <v>4464.4444444444443</v>
      </c>
      <c r="R36" s="6">
        <v>47286.628472222212</v>
      </c>
      <c r="S36" s="7">
        <v>45627</v>
      </c>
      <c r="T36" s="8">
        <f t="shared" si="0"/>
        <v>50625.871527777774</v>
      </c>
    </row>
    <row r="37" spans="1:20" x14ac:dyDescent="0.25">
      <c r="A37" s="4">
        <v>1008</v>
      </c>
      <c r="B37" s="4" t="s">
        <v>34</v>
      </c>
      <c r="C37" s="4" t="s">
        <v>35</v>
      </c>
      <c r="D37" s="4" t="s">
        <v>36</v>
      </c>
      <c r="E37" s="5">
        <v>49000</v>
      </c>
      <c r="F37" s="4">
        <v>1</v>
      </c>
      <c r="G37" s="4">
        <v>29</v>
      </c>
      <c r="H37" s="4">
        <v>6</v>
      </c>
      <c r="I37" s="6">
        <v>47366.666666666664</v>
      </c>
      <c r="J37" s="6">
        <v>9473.3333333333339</v>
      </c>
      <c r="K37" s="6">
        <v>4736.666666666667</v>
      </c>
      <c r="L37" s="6">
        <v>3789.333333333333</v>
      </c>
      <c r="M37" s="6">
        <v>1225</v>
      </c>
      <c r="N37" s="6">
        <v>66591</v>
      </c>
      <c r="O37" s="6">
        <v>5683.9999999999991</v>
      </c>
      <c r="P37" s="6">
        <v>499.4325</v>
      </c>
      <c r="Q37" s="6">
        <v>6024.5888888888885</v>
      </c>
      <c r="R37" s="6">
        <v>54382.978611111117</v>
      </c>
      <c r="S37" s="7">
        <v>45627</v>
      </c>
      <c r="T37" s="8">
        <f t="shared" si="0"/>
        <v>59574.688055555554</v>
      </c>
    </row>
    <row r="38" spans="1:20" x14ac:dyDescent="0.25">
      <c r="A38" s="4">
        <v>1009</v>
      </c>
      <c r="B38" s="4" t="s">
        <v>37</v>
      </c>
      <c r="C38" s="4" t="s">
        <v>21</v>
      </c>
      <c r="D38" s="4" t="s">
        <v>22</v>
      </c>
      <c r="E38" s="5">
        <v>58333.333333333336</v>
      </c>
      <c r="F38" s="4">
        <v>1</v>
      </c>
      <c r="G38" s="4">
        <v>29</v>
      </c>
      <c r="H38" s="4">
        <v>5</v>
      </c>
      <c r="I38" s="6">
        <v>56388.888888888891</v>
      </c>
      <c r="J38" s="6">
        <v>11277.777777777777</v>
      </c>
      <c r="K38" s="6">
        <v>5638.8888888888887</v>
      </c>
      <c r="L38" s="6">
        <v>4511.1111111111113</v>
      </c>
      <c r="M38" s="6">
        <v>1215.2777777777778</v>
      </c>
      <c r="N38" s="6">
        <v>79031.944444444453</v>
      </c>
      <c r="O38" s="6">
        <v>6766.666666666667</v>
      </c>
      <c r="P38" s="6">
        <v>592.73958333333337</v>
      </c>
      <c r="Q38" s="6">
        <v>8514.7222222222226</v>
      </c>
      <c r="R38" s="6">
        <v>63157.815972222234</v>
      </c>
      <c r="S38" s="7">
        <v>45627</v>
      </c>
      <c r="T38" s="8">
        <f t="shared" si="0"/>
        <v>72263.017361111109</v>
      </c>
    </row>
    <row r="39" spans="1:20" x14ac:dyDescent="0.25">
      <c r="A39" s="4">
        <v>1010</v>
      </c>
      <c r="B39" s="4" t="s">
        <v>38</v>
      </c>
      <c r="C39" s="4" t="s">
        <v>24</v>
      </c>
      <c r="D39" s="4" t="s">
        <v>39</v>
      </c>
      <c r="E39" s="5">
        <v>29166.666666666668</v>
      </c>
      <c r="F39" s="4">
        <v>2</v>
      </c>
      <c r="G39" s="4">
        <v>28</v>
      </c>
      <c r="H39" s="4">
        <v>8</v>
      </c>
      <c r="I39" s="6">
        <v>27222.222222222223</v>
      </c>
      <c r="J39" s="6">
        <v>5444.4444444444443</v>
      </c>
      <c r="K39" s="6">
        <v>2722.2222222222222</v>
      </c>
      <c r="L39" s="6">
        <v>2177.7777777777778</v>
      </c>
      <c r="M39" s="6">
        <v>972.22222222222229</v>
      </c>
      <c r="N39" s="6">
        <v>38538.888888888891</v>
      </c>
      <c r="O39" s="6">
        <v>3266.6666666666665</v>
      </c>
      <c r="P39" s="6">
        <v>289.04166666666669</v>
      </c>
      <c r="Q39" s="6">
        <v>906.1111111111112</v>
      </c>
      <c r="R39" s="6">
        <v>34077.069444444445</v>
      </c>
      <c r="S39" s="7">
        <v>45627</v>
      </c>
      <c r="T39" s="8">
        <f t="shared" si="0"/>
        <v>31684.041666666668</v>
      </c>
    </row>
    <row r="40" spans="1:20" x14ac:dyDescent="0.25">
      <c r="A40" s="4">
        <v>1011</v>
      </c>
      <c r="B40" s="4" t="s">
        <v>40</v>
      </c>
      <c r="C40" s="4" t="s">
        <v>41</v>
      </c>
      <c r="D40" s="4" t="s">
        <v>42</v>
      </c>
      <c r="E40" s="5">
        <v>23333.333333333332</v>
      </c>
      <c r="F40" s="4">
        <v>2</v>
      </c>
      <c r="G40" s="4">
        <v>28</v>
      </c>
      <c r="H40" s="4">
        <v>8</v>
      </c>
      <c r="I40" s="6">
        <v>21777.777777777777</v>
      </c>
      <c r="J40" s="6">
        <v>4355.5555555555557</v>
      </c>
      <c r="K40" s="6">
        <v>2177.7777777777778</v>
      </c>
      <c r="L40" s="6">
        <v>1742.2222222222222</v>
      </c>
      <c r="M40" s="6">
        <v>777.77777777777771</v>
      </c>
      <c r="N40" s="6">
        <v>30831.111111111109</v>
      </c>
      <c r="O40" s="6">
        <v>2613.333333333333</v>
      </c>
      <c r="P40" s="6">
        <v>231.23333333333332</v>
      </c>
      <c r="Q40" s="6">
        <v>530.44444444444446</v>
      </c>
      <c r="R40" s="6">
        <v>27456.1</v>
      </c>
      <c r="S40" s="7">
        <v>45627</v>
      </c>
      <c r="T40" s="8">
        <f t="shared" si="0"/>
        <v>25152.788888888888</v>
      </c>
    </row>
    <row r="41" spans="1:20" x14ac:dyDescent="0.25">
      <c r="A41" s="4">
        <v>1012</v>
      </c>
      <c r="B41" s="4" t="s">
        <v>43</v>
      </c>
      <c r="C41" s="4" t="s">
        <v>24</v>
      </c>
      <c r="D41" s="4" t="s">
        <v>39</v>
      </c>
      <c r="E41" s="5">
        <v>41999.999999999993</v>
      </c>
      <c r="F41" s="4">
        <v>1</v>
      </c>
      <c r="G41" s="4">
        <v>29</v>
      </c>
      <c r="H41" s="4">
        <v>9</v>
      </c>
      <c r="I41" s="6">
        <v>40599.999999999993</v>
      </c>
      <c r="J41" s="6">
        <v>8120</v>
      </c>
      <c r="K41" s="6">
        <v>4060</v>
      </c>
      <c r="L41" s="6">
        <v>3247.9999999999995</v>
      </c>
      <c r="M41" s="6">
        <v>1574.9999999999998</v>
      </c>
      <c r="N41" s="6">
        <v>57602.999999999993</v>
      </c>
      <c r="O41" s="6">
        <v>4871.9999999999991</v>
      </c>
      <c r="P41" s="6">
        <v>432.02249999999992</v>
      </c>
      <c r="Q41" s="6">
        <v>4156.9888888888891</v>
      </c>
      <c r="R41" s="6">
        <v>48141.988611111105</v>
      </c>
      <c r="S41" s="7">
        <v>45627</v>
      </c>
      <c r="T41" s="8">
        <f t="shared" si="0"/>
        <v>50061.011388888881</v>
      </c>
    </row>
    <row r="42" spans="1:20" x14ac:dyDescent="0.25">
      <c r="A42" s="4">
        <v>1013</v>
      </c>
      <c r="B42" s="4" t="s">
        <v>44</v>
      </c>
      <c r="C42" s="4" t="s">
        <v>24</v>
      </c>
      <c r="D42" s="4" t="s">
        <v>45</v>
      </c>
      <c r="E42" s="5">
        <v>24500</v>
      </c>
      <c r="F42" s="4">
        <v>3</v>
      </c>
      <c r="G42" s="4">
        <v>27</v>
      </c>
      <c r="H42" s="4">
        <v>2</v>
      </c>
      <c r="I42" s="6">
        <v>22050</v>
      </c>
      <c r="J42" s="6">
        <v>4410</v>
      </c>
      <c r="K42" s="6">
        <v>2205</v>
      </c>
      <c r="L42" s="6">
        <v>1763.9999999999998</v>
      </c>
      <c r="M42" s="6">
        <v>204.16666666666666</v>
      </c>
      <c r="N42" s="6">
        <v>30633.166666666668</v>
      </c>
      <c r="O42" s="6">
        <v>2646</v>
      </c>
      <c r="P42" s="6">
        <v>229.74875</v>
      </c>
      <c r="Q42" s="6">
        <v>583.95000000000005</v>
      </c>
      <c r="R42" s="6">
        <v>27173.467916666668</v>
      </c>
      <c r="S42" s="7">
        <v>45627</v>
      </c>
      <c r="T42" s="8">
        <f t="shared" si="0"/>
        <v>25509.69875</v>
      </c>
    </row>
    <row r="43" spans="1:20" x14ac:dyDescent="0.25">
      <c r="A43" s="4">
        <v>1014</v>
      </c>
      <c r="B43" s="4" t="s">
        <v>46</v>
      </c>
      <c r="C43" s="4" t="s">
        <v>24</v>
      </c>
      <c r="D43" s="4" t="s">
        <v>45</v>
      </c>
      <c r="E43" s="5">
        <v>20416.666666666664</v>
      </c>
      <c r="F43" s="4">
        <v>3</v>
      </c>
      <c r="G43" s="4">
        <v>27</v>
      </c>
      <c r="H43" s="4">
        <v>4</v>
      </c>
      <c r="I43" s="6">
        <v>18374.999999999996</v>
      </c>
      <c r="J43" s="6">
        <v>3675</v>
      </c>
      <c r="K43" s="6">
        <v>1837.5</v>
      </c>
      <c r="L43" s="6">
        <v>1469.9999999999998</v>
      </c>
      <c r="M43" s="6">
        <v>340.27777777777771</v>
      </c>
      <c r="N43" s="6">
        <v>25697.777777777774</v>
      </c>
      <c r="O43" s="6">
        <v>2204.9999999999995</v>
      </c>
      <c r="P43" s="6">
        <v>192.73333333333329</v>
      </c>
      <c r="Q43" s="6">
        <v>330.375</v>
      </c>
      <c r="R43" s="6">
        <v>22969.66944444444</v>
      </c>
      <c r="S43" s="7">
        <v>45627</v>
      </c>
      <c r="T43" s="8">
        <f t="shared" si="0"/>
        <v>21103.10833333333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67D31-4F41-48C7-B923-96CA317A8B31}">
  <dimension ref="H13"/>
  <sheetViews>
    <sheetView workbookViewId="0">
      <selection activeCell="K15" sqref="K15"/>
    </sheetView>
  </sheetViews>
  <sheetFormatPr defaultRowHeight="15" x14ac:dyDescent="0.25"/>
  <sheetData>
    <row r="13" spans="8:8" x14ac:dyDescent="0.25">
      <c r="H13"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vt:lpstr>
      <vt:lpstr>Dashboard</vt:lpstr>
      <vt:lpstr>Employee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CROMA CAMPUS</dc:creator>
  <cp:lastModifiedBy>DELL</cp:lastModifiedBy>
  <dcterms:created xsi:type="dcterms:W3CDTF">2015-06-05T18:17:20Z</dcterms:created>
  <dcterms:modified xsi:type="dcterms:W3CDTF">2026-10-02T07:22:27Z</dcterms:modified>
</cp:coreProperties>
</file>